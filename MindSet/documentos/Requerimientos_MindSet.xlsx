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d69f36fc9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d281dfef3b743f5"/>
    <x:sheet xmlns:r="http://schemas.openxmlformats.org/officeDocument/2006/relationships" name="Requisitos" sheetId="2" r:id="R5e0a50c84bae46c6"/>
    <x:sheet xmlns:r="http://schemas.openxmlformats.org/officeDocument/2006/relationships" name="Reglas de negocio" sheetId="3" r:id="Rba4a9b5f0d24449d"/>
    <x:sheet xmlns:r="http://schemas.openxmlformats.org/officeDocument/2006/relationships" name="Catálogos" sheetId="4" r:id="R0fa82622d2c241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1"/>
      <x:color rgb="FF78350F"/>
      <x:name val="Carlito"/>
    </x:font>
    <x:font>
      <x:b/>
      <x:sz val="20"/>
      <x:color rgb="FF28325C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8325C"/>
      </x:patternFill>
    </x:fill>
    <x:fill>
      <x:patternFill patternType="solid">
        <x:fgColor rgb="FFE9EBFF"/>
      </x:patternFill>
    </x:fill>
    <x:fill>
      <x:patternFill patternType="solid">
        <x:fgColor rgb="FF5965D8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</x:fills>
  <x:borders count="11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/>
    </x:xf>
    <x:xf numFmtId="0" fontId="4" fillId="5" borderId="8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horizontal="center" vertical="top"/>
    </x:xf>
    <x:xf numFmtId="0" fontId="4" fillId="5" borderId="8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6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/>
    </x:xf>
    <x:xf numFmtId="0" fontId="6" fillId="3" borderId="6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vertical="top"/>
    </x:xf>
    <x:xf numFmtId="0" fontId="4" fillId="8" borderId="0" xfId="0" applyNumberFormat="1" applyFont="1" applyFill="1" applyBorder="1" applyAlignment="1">
      <x:alignment vertical="top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horizontal="center" vertical="top"/>
    </x:xf>
    <x:xf numFmtId="0" fontId="4" fillId="9" borderId="0" xfId="0" applyNumberFormat="1" applyFont="1" applyFill="1" applyBorder="1" applyAlignment="1">
      <x:alignment vertical="top"/>
    </x:xf>
    <x:xf numFmtId="0" fontId="7" fillId="9" borderId="0" xfId="0" applyNumberFormat="1" applyFont="1" applyFill="1" applyBorder="1" applyAlignment="1">
      <x:alignment vertical="top"/>
    </x:xf>
    <x:xf numFmtId="0" fontId="7" fillId="9" borderId="0" xfId="0" applyNumberFormat="1" applyFont="1" applyFill="1" applyBorder="1" applyAlignment="1">
      <x:alignment horizontal="center" vertical="top"/>
    </x:xf>
    <x:xf numFmtId="0" fontId="7" fillId="9" borderId="0" xfId="0" applyNumberFormat="1" applyFont="1" applyFill="1" applyBorder="1" applyAlignment="1">
      <x:alignment horizontal="center" vertical="center"/>
    </x:xf>
    <x:xf numFmtId="0" fontId="4" fillId="8" borderId="6" xfId="0" applyNumberFormat="1" applyFont="1" applyFill="1" applyBorder="1" applyAlignment="1">
      <x:alignment vertical="top"/>
    </x:xf>
    <x:xf numFmtId="0" fontId="4" fillId="8" borderId="7" xfId="0" applyNumberFormat="1" applyFont="1" applyFill="1" applyBorder="1" applyAlignment="1">
      <x:alignment vertical="top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horizontal="center" vertical="top"/>
    </x:xf>
    <x:xf numFmtId="0" fontId="4" fillId="9" borderId="7" xfId="0" applyNumberFormat="1" applyFont="1" applyFill="1" applyBorder="1" applyAlignment="1">
      <x:alignment vertical="top"/>
    </x:xf>
    <x:xf numFmtId="0" fontId="7" fillId="9" borderId="7" xfId="0" applyNumberFormat="1" applyFont="1" applyFill="1" applyBorder="1" applyAlignment="1">
      <x:alignment vertical="top"/>
    </x:xf>
    <x:xf numFmtId="0" fontId="7" fillId="9" borderId="7" xfId="0" applyNumberFormat="1" applyFont="1" applyFill="1" applyBorder="1" applyAlignment="1">
      <x:alignment horizontal="center" vertical="top"/>
    </x:xf>
    <x:xf numFmtId="0" fontId="7" fillId="9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6"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FFFFFF"/>
      </x:font>
      <x:fill>
        <x:patternFill patternType="solid">
          <x:bgColor rgb="FFC6591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fc16500be4bb2" /><Relationship Type="http://schemas.openxmlformats.org/officeDocument/2006/relationships/theme" Target="/xl/theme/theme1.xml" Id="R89c25cf847384fca" /><Relationship Type="http://schemas.openxmlformats.org/officeDocument/2006/relationships/sharedStrings" Target="/xl/sharedStrings.xml" Id="R090accbad14b49b2" /><Relationship Type="http://schemas.openxmlformats.org/officeDocument/2006/relationships/worksheet" Target="/xl/worksheets/sheet1.xml" Id="Rbd281dfef3b743f5" /><Relationship Type="http://schemas.openxmlformats.org/officeDocument/2006/relationships/worksheet" Target="/xl/worksheets/sheet2.xml" Id="R5e0a50c84bae46c6" /><Relationship Type="http://schemas.openxmlformats.org/officeDocument/2006/relationships/worksheet" Target="/xl/worksheets/sheet3.xml" Id="Rba4a9b5f0d24449d" /><Relationship Type="http://schemas.openxmlformats.org/officeDocument/2006/relationships/worksheet" Target="/xl/worksheets/sheet4.xml" Id="R0fa82622d2c24187" /></Relationships>
</file>

<file path=xl/tables/table1.xml><?xml version="1.0" encoding="utf-8"?>
<x:table xmlns:x="http://schemas.openxmlformats.org/spreadsheetml/2006/main" id="1" name="RequisitosMindSet" displayName="RequisitosMindSet" ref="A4:R33" headerRowCount="1" totalsRowCount="0" totalsRowShown="0">
  <x:autoFilter ref="A4:R33"/>
  <x:tableColumns count="18">
    <x:tableColumn id="1" name="ID"/>
    <x:tableColumn id="2" name="Tipo"/>
    <x:tableColumn id="3" name="Microservicio / Ámbito"/>
    <x:tableColumn id="4" name="Actor"/>
    <x:tableColumn id="5" name="Descripción"/>
    <x:tableColumn id="6" name="Prioridad"/>
    <x:tableColumn id="7" name="Criterio de aceptación"/>
    <x:tableColumn id="8" name="Impacto principal"/>
    <x:tableColumn id="9" name="Seguridad"/>
    <x:tableColumn id="10" name="Escalabilidad"/>
    <x:tableColumn id="11" name="Disponibilidad"/>
    <x:tableColumn id="12" name="Mantenibilidad"/>
    <x:tableColumn id="13" name="Persistencia"/>
    <x:tableColumn id="14" name="Comunicación"/>
    <x:tableColumn id="15" name="Componentes de arquitectura"/>
    <x:tableColumn id="16" name="Reglas relacionadas"/>
    <x:tableColumn id="17" name="Estado"/>
    <x:tableColumn id="18" name="Vers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lasMindSet" displayName="ReglasMindSet" ref="A4:G26" headerRowCount="1" totalsRowCount="0" totalsRowShown="0">
  <x:autoFilter ref="A4:G26"/>
  <x:tableColumns count="7">
    <x:tableColumn id="1" name="ID"/>
    <x:tableColumn id="2" name="Regla de negocio"/>
    <x:tableColumn id="3" name="Requisitos relacionados"/>
    <x:tableColumn id="4" name="Microservicio / Ámbito"/>
    <x:tableColumn id="5" name="Validación o evidencia"/>
    <x:tableColumn id="6" name="Estado"/>
    <x:tableColumn id="7" name="Versió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fbb63fcb7848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0a9d10cb154e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3" hidden="0" customWidth="1"/>
    <x:col min="5" max="5" width="22" hidden="0" customWidth="1"/>
    <x:col min="6" max="6" width="18" hidden="0" customWidth="1"/>
    <x:col min="7" max="7" width="34" hidden="0" customWidth="1"/>
    <x:col min="8" max="8" width="26" hidden="0" customWidth="1"/>
  </x:cols>
  <x:sheetData>
    <x:row r="1" ht="30" customHeight="1">
      <x:c r="A1" s="3" t="str">
        <x:v>Resumen de Requerimientos - MindSet</x:v>
      </x:c>
      <x:c r="B1" s="3" t="str">
        <x:v>Resumen de Requerimientos - MindSet</x:v>
      </x:c>
      <x:c r="C1" s="3" t="str">
        <x:v>Resumen de Requerimientos - MindSet</x:v>
      </x:c>
      <x:c r="D1" s="3" t="str">
        <x:v>Resumen de Requerimientos - MindSet</x:v>
      </x:c>
      <x:c r="E1" s="3" t="str">
        <x:v>Resumen de Requerimientos - MindSet</x:v>
      </x:c>
      <x:c r="F1" s="3" t="str">
        <x:v>Resumen de Requerimientos - MindSet</x:v>
      </x:c>
      <x:c r="G1" s="3" t="str">
        <x:v>Resumen de Requerimientos - MindSet</x:v>
      </x:c>
      <x:c r="H1" s="3" t="str">
        <x:v>Resumen de Requerimientos - MindSet</x:v>
      </x:c>
    </x:row>
    <x:row r="2" ht="28" customHeight="1">
      <x:c r="A2" s="7" t="str">
        <x:v>Versión 0.3 | Actualizado: 2026-08-30</x:v>
      </x:c>
      <x:c r="B2" s="7"/>
      <x:c r="C2" s="7"/>
      <x:c r="D2" s="7"/>
      <x:c r="E2" s="7"/>
      <x:c r="F2" s="7"/>
      <x:c r="G2" s="7"/>
      <x:c r="H2" s="7"/>
    </x:row>
    <x:row r="4">
      <x:c r="A4" s="62" t="str">
        <x:v>Total requisitos</x:v>
      </x:c>
      <x:c r="B4" s="62" t="str">
        <x:v>Total requisitos</x:v>
      </x:c>
      <x:c r="D4" s="62" t="str">
        <x:v>Requisitos funcionales</x:v>
      </x:c>
      <x:c r="E4" s="62" t="str">
        <x:v>Requisitos funcionales</x:v>
      </x:c>
      <x:c r="G4" s="62" t="str">
        <x:v>Requisitos no funcionales</x:v>
      </x:c>
      <x:c r="H4" s="62" t="str">
        <x:v>Requisitos no funcionales</x:v>
      </x:c>
    </x:row>
    <x:row r="5">
      <x:c r="A5" s="72" t="n">
        <x:f>COUNTA('Requisitos'!$A$5:$A$100)</x:f>
        <x:v>29</x:v>
      </x:c>
      <x:c r="B5" s="73"/>
      <x:c r="D5" s="72" t="n">
        <x:f>COUNTIF('Requisitos'!$B$5:$B$100,"Funcional")</x:f>
        <x:v>19</x:v>
      </x:c>
      <x:c r="E5" s="73"/>
      <x:c r="G5" s="72" t="n">
        <x:f>COUNTIF('Requisitos'!$B$5:$B$100,"No funcional")</x:f>
        <x:v>10</x:v>
      </x:c>
      <x:c r="H5" s="73"/>
    </x:row>
    <x:row r="6">
      <x:c r="A6" s="74"/>
      <x:c r="B6" s="75"/>
      <x:c r="D6" s="74"/>
      <x:c r="E6" s="75"/>
      <x:c r="G6" s="74"/>
      <x:c r="H6" s="75"/>
    </x:row>
    <x:row r="8">
      <x:c r="A8" s="62" t="str">
        <x:v>Reglas de negocio</x:v>
      </x:c>
      <x:c r="B8" s="62" t="str">
        <x:v>Reglas de negocio</x:v>
      </x:c>
      <x:c r="D8" s="62" t="str">
        <x:v>Prioridad alta</x:v>
      </x:c>
      <x:c r="E8" s="62" t="str">
        <x:v>Prioridad alta</x:v>
      </x:c>
      <x:c r="G8" s="62" t="str">
        <x:v>Requisitos aprobados</x:v>
      </x:c>
      <x:c r="H8" s="62" t="str">
        <x:v>Requisitos aprobados</x:v>
      </x:c>
    </x:row>
    <x:row r="9">
      <x:c r="A9" s="72" t="n">
        <x:f>COUNTA('Reglas de negocio'!$A$5:$A$100)</x:f>
        <x:v>22</x:v>
      </x:c>
      <x:c r="B9" s="73"/>
      <x:c r="D9" s="72" t="n">
        <x:f>COUNTIF('Requisitos'!$F$5:$F$100,"Alta")</x:f>
        <x:v>20</x:v>
      </x:c>
      <x:c r="E9" s="73"/>
      <x:c r="G9" s="72" t="n">
        <x:f>COUNTIF('Requisitos'!$Q$5:$Q$100,"Aprobado")</x:f>
        <x:v>29</x:v>
      </x:c>
      <x:c r="H9" s="73"/>
    </x:row>
    <x:row r="10">
      <x:c r="A10" s="74"/>
      <x:c r="B10" s="75"/>
      <x:c r="D10" s="74"/>
      <x:c r="E10" s="75"/>
      <x:c r="G10" s="74"/>
      <x:c r="H10" s="75"/>
    </x:row>
    <x:row r="12" ht="34" customHeight="1">
      <x:c r="A12" s="19" t="str">
        <x:v>Microservicio / Ámbito</x:v>
      </x:c>
      <x:c r="B12" s="20" t="str">
        <x:v>Requisitos funcionales</x:v>
      </x:c>
      <x:c r="C12" s="21" t="str">
        <x:v>Total requisitos</x:v>
      </x:c>
      <x:c r="D12" s="47"/>
      <x:c r="E12" s="19" t="str">
        <x:v>Dimensión de impacto</x:v>
      </x:c>
      <x:c r="F12" s="20" t="str">
        <x:v>Cantidad con impacto alto</x:v>
      </x:c>
      <x:c r="G12" s="20" t="str">
        <x:v>Elementos relacionados</x:v>
      </x:c>
      <x:c r="H12" s="21" t="str">
        <x:v>Aplicación</x:v>
      </x:c>
    </x:row>
    <x:row r="13" ht="36" customHeight="1">
      <x:c r="A13" s="46" t="str">
        <x:v>Autenticación y Usuarios</x:v>
      </x:c>
      <x:c r="B13" s="47" t="n">
        <x:f>COUNTIFS('Requisitos'!$C$5:$C$100,A13,'Requisitos'!$B$5:$B$100,"Funcional")</x:f>
        <x:v>3</x:v>
      </x:c>
      <x:c r="C13" s="48" t="n">
        <x:f>COUNTIF('Requisitos'!$C$5:$C$100,A13)</x:f>
        <x:v>3</x:v>
      </x:c>
      <x:c r="D13" s="47"/>
      <x:c r="E13" s="46" t="str">
        <x:v>Seguridad</x:v>
      </x:c>
      <x:c r="F13" s="47" t="n">
        <x:f>COUNTIF('Requisitos'!$I$5:$I$100,"Alto")</x:f>
        <x:v>20</x:v>
      </x:c>
      <x:c r="G13" s="47" t="str">
        <x:v>JWT, RBAC, TLS y cifrado</x:v>
      </x:c>
      <x:c r="H13" s="48" t="str">
        <x:v>Protección de accesos y datos</x:v>
      </x:c>
    </x:row>
    <x:row r="14" ht="36" customHeight="1">
      <x:c r="A14" s="46" t="str">
        <x:v>Diario Emocional</x:v>
      </x:c>
      <x:c r="B14" s="47" t="n">
        <x:f>COUNTIFS('Requisitos'!$C$5:$C$100,A14,'Requisitos'!$B$5:$B$100,"Funcional")</x:f>
        <x:v>3</x:v>
      </x:c>
      <x:c r="C14" s="48" t="n">
        <x:f>COUNTIF('Requisitos'!$C$5:$C$100,A14)</x:f>
        <x:v>4</x:v>
      </x:c>
      <x:c r="D14" s="47"/>
      <x:c r="E14" s="46" t="str">
        <x:v>Escalabilidad</x:v>
      </x:c>
      <x:c r="F14" s="47" t="n">
        <x:f>COUNTIF('Requisitos'!$J$5:$J$100,"Alto")</x:f>
        <x:v>8</x:v>
      </x:c>
      <x:c r="G14" s="47" t="str">
        <x:v>SQS, Lambda y autoescalado</x:v>
      </x:c>
      <x:c r="H14" s="48" t="str">
        <x:v>Procesamiento de solicitudes</x:v>
      </x:c>
    </x:row>
    <x:row r="15" ht="36" customHeight="1">
      <x:c r="A15" s="46" t="str">
        <x:v>Profesionales y Disponibilidad</x:v>
      </x:c>
      <x:c r="B15" s="47" t="n">
        <x:f>COUNTIFS('Requisitos'!$C$5:$C$100,A15,'Requisitos'!$B$5:$B$100,"Funcional")</x:f>
        <x:v>7</x:v>
      </x:c>
      <x:c r="C15" s="48" t="n">
        <x:f>COUNTIF('Requisitos'!$C$5:$C$100,A15)</x:f>
        <x:v>7</x:v>
      </x:c>
      <x:c r="D15" s="47"/>
      <x:c r="E15" s="46" t="str">
        <x:v>Disponibilidad</x:v>
      </x:c>
      <x:c r="F15" s="47" t="n">
        <x:f>COUNTIF('Requisitos'!$K$5:$K$100,"Alto")</x:f>
        <x:v>17</x:v>
      </x:c>
      <x:c r="G15" s="47" t="str">
        <x:v>Circuit Breaker y aislamiento</x:v>
      </x:c>
      <x:c r="H15" s="48" t="str">
        <x:v>Recuperación ante fallos</x:v>
      </x:c>
    </x:row>
    <x:row r="16" ht="36" customHeight="1">
      <x:c r="A16" s="46" t="str">
        <x:v>Solicitudes de Cita</x:v>
      </x:c>
      <x:c r="B16" s="47" t="n">
        <x:f>COUNTIFS('Requisitos'!$C$5:$C$100,A16,'Requisitos'!$B$5:$B$100,"Funcional")</x:f>
        <x:v>6</x:v>
      </x:c>
      <x:c r="C16" s="48" t="n">
        <x:f>COUNTIF('Requisitos'!$C$5:$C$100,A16)</x:f>
        <x:v>8</x:v>
      </x:c>
      <x:c r="D16" s="47"/>
      <x:c r="E16" s="46" t="str">
        <x:v>Mantenibilidad</x:v>
      </x:c>
      <x:c r="F16" s="47" t="n">
        <x:f>COUNTIF('Requisitos'!$L$5:$L$100,"Alto")</x:f>
        <x:v>6</x:v>
      </x:c>
      <x:c r="G16" s="47" t="str">
        <x:v>SRP y despliegue independiente</x:v>
      </x:c>
      <x:c r="H16" s="48" t="str">
        <x:v>Servicios independientes</x:v>
      </x:c>
    </x:row>
    <x:row r="17" ht="36" customHeight="1">
      <x:c r="A17" s="46" t="str">
        <x:v>Diario y Citas</x:v>
      </x:c>
      <x:c r="B17" s="47" t="n">
        <x:f>COUNTIFS('Requisitos'!$C$5:$C$100,A17,'Requisitos'!$B$5:$B$100,"Funcional")</x:f>
        <x:v>0</x:v>
      </x:c>
      <x:c r="C17" s="48" t="n">
        <x:f>COUNTIF('Requisitos'!$C$5:$C$100,A17)</x:f>
        <x:v>1</x:v>
      </x:c>
      <x:c r="D17" s="47"/>
      <x:c r="E17" s="49" t="str">
        <x:v>Persistencia</x:v>
      </x:c>
      <x:c r="F17" s="50" t="n">
        <x:f>COUNTIF('Requisitos'!$M$5:$M$100,"Alto")</x:f>
        <x:v>21</x:v>
      </x:c>
      <x:c r="G17" s="50" t="str">
        <x:v>Base de datos por servicio</x:v>
      </x:c>
      <x:c r="H17" s="51" t="str">
        <x:v>Propiedad de los datos</x:v>
      </x:c>
    </x:row>
    <x:row r="18" ht="36" customHeight="1">
      <x:c r="A18" s="49" t="str">
        <x:v>Transversal</x:v>
      </x:c>
      <x:c r="B18" s="50" t="n">
        <x:f>COUNTIFS('Requisitos'!$C$5:$C$100,A18,'Requisitos'!$B$5:$B$100,"Funcional")</x:f>
        <x:v>0</x:v>
      </x:c>
      <x:c r="C18" s="51" t="n">
        <x:f>COUNTIF('Requisitos'!$C$5:$C$100,A18)</x:f>
        <x:v>6</x:v>
      </x:c>
      <x:c r="D18" s="47"/>
      <x:c r="E18" s="47"/>
      <x:c r="F18" s="47"/>
      <x:c r="G18" s="47"/>
      <x:c r="H18" s="47"/>
    </x:row>
    <x:row r="20" ht="38" customHeight="1">
      <x:c r="A20"/>
      <x:c r="B20"/>
      <x:c r="C20"/>
      <x:c r="D20"/>
      <x:c r="E20"/>
      <x:c r="F20"/>
      <x:c r="G20"/>
      <x:c r="H20"/>
    </x:row>
  </x:sheetData>
  <x:mergeCells>
    <x:mergeCell ref="A1:H1"/>
    <x:mergeCell ref="A4:B4"/>
    <x:mergeCell ref="A5:B6"/>
    <x:mergeCell ref="D4:E4"/>
    <x:mergeCell ref="D5:E6"/>
    <x:mergeCell ref="G4:H4"/>
    <x:mergeCell ref="G5:H6"/>
    <x:mergeCell ref="A8:B8"/>
    <x:mergeCell ref="A9:B10"/>
    <x:mergeCell ref="D8:E8"/>
    <x:mergeCell ref="D9:E10"/>
    <x:mergeCell ref="G8:H8"/>
    <x:mergeCell ref="G9:H10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19" hidden="0" customWidth="1"/>
    <x:col min="5" max="5" width="58" hidden="0" customWidth="1"/>
    <x:col min="6" max="6" width="12" hidden="0" customWidth="1"/>
    <x:col min="7" max="7" width="62" hidden="0" customWidth="1"/>
    <x:col min="8" max="8" width="26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3" hidden="0" customWidth="1"/>
    <x:col min="14" max="14" width="22" hidden="0" customWidth="1"/>
    <x:col min="15" max="15" width="42" hidden="0" customWidth="1"/>
    <x:col min="16" max="16" width="32" hidden="0" customWidth="1"/>
    <x:col min="17" max="17" width="14" hidden="0" customWidth="1"/>
    <x:col min="18" max="18" width="10" hidden="0" customWidth="1"/>
  </x:cols>
  <x:sheetData>
    <x:row r="1" ht="30" customHeight="1">
      <x:c r="A1" s="3" t="str">
        <x:v>Matriz de Requerimientos - MindSet</x:v>
      </x:c>
      <x:c r="B1" s="3" t="str">
        <x:v>Matriz de Requerimientos - MindSet</x:v>
      </x:c>
      <x:c r="C1" s="3" t="str">
        <x:v>Matriz de Requerimientos - MindSet</x:v>
      </x:c>
      <x:c r="D1" s="3" t="str">
        <x:v>Matriz de Requerimientos - MindSet</x:v>
      </x:c>
      <x:c r="E1" s="3" t="str">
        <x:v>Matriz de Requerimientos - MindSet</x:v>
      </x:c>
      <x:c r="F1" s="3" t="str">
        <x:v>Matriz de Requerimientos - MindSet</x:v>
      </x:c>
      <x:c r="G1" s="3" t="str">
        <x:v>Matriz de Requerimientos - MindSet</x:v>
      </x:c>
      <x:c r="H1" s="3" t="str">
        <x:v>Matriz de Requerimientos - MindSet</x:v>
      </x:c>
      <x:c r="I1" s="3" t="str">
        <x:v>Matriz de Requerimientos - MindSet</x:v>
      </x:c>
      <x:c r="J1" s="3" t="str">
        <x:v>Matriz de Requerimientos - MindSet</x:v>
      </x:c>
      <x:c r="K1" s="3" t="str">
        <x:v>Matriz de Requerimientos - MindSet</x:v>
      </x:c>
      <x:c r="L1" s="3" t="str">
        <x:v>Matriz de Requerimientos - MindSet</x:v>
      </x:c>
      <x:c r="M1" s="3" t="str">
        <x:v>Matriz de Requerimientos - MindSet</x:v>
      </x:c>
      <x:c r="N1" s="3" t="str">
        <x:v>Matriz de Requerimientos - MindSet</x:v>
      </x:c>
      <x:c r="O1" s="3" t="str">
        <x:v>Matriz de Requerimientos - MindSet</x:v>
      </x:c>
      <x:c r="P1" s="3" t="str">
        <x:v>Matriz de Requerimientos - MindSet</x:v>
      </x:c>
      <x:c r="Q1" s="3" t="str">
        <x:v>Matriz de Requerimientos - MindSet</x:v>
      </x:c>
      <x:c r="R1" s="3" t="str">
        <x:v>Matriz de Requerimientos - MindSet</x:v>
      </x:c>
    </x:row>
    <x:row r="2" ht="28" customHeight="1">
      <x:c r="A2" s="7" t="str">
        <x:v>Versión 0.3 | Requisitos funcionales, no funcionales e impacto arquitectónico</x:v>
      </x:c>
      <x:c r="B2" s="7" t="str">
        <x:v>Versión 0.3 | Requisitos funcionales, no funcionales e impacto arquitectónico</x:v>
      </x:c>
      <x:c r="C2" s="7" t="str">
        <x:v>Versión 0.3 | Requisitos funcionales, no funcionales e impacto arquitectónico</x:v>
      </x:c>
      <x:c r="D2" s="7" t="str">
        <x:v>Versión 0.3 | Requisitos funcionales, no funcionales e impacto arquitectónico</x:v>
      </x:c>
      <x:c r="E2" s="7" t="str">
        <x:v>Versión 0.3 | Requisitos funcionales, no funcionales e impacto arquitectónico</x:v>
      </x:c>
      <x:c r="F2" s="7" t="str">
        <x:v>Versión 0.3 | Requisitos funcionales, no funcionales e impacto arquitectónico</x:v>
      </x:c>
      <x:c r="G2" s="7" t="str">
        <x:v>Versión 0.3 | Requisitos funcionales, no funcionales e impacto arquitectónico</x:v>
      </x:c>
      <x:c r="H2" s="7" t="str">
        <x:v>Versión 0.3 | Requisitos funcionales, no funcionales e impacto arquitectónico</x:v>
      </x:c>
      <x:c r="I2" s="7" t="str">
        <x:v>Versión 0.3 | Requisitos funcionales, no funcionales e impacto arquitectónico</x:v>
      </x:c>
      <x:c r="J2" s="7" t="str">
        <x:v>Versión 0.3 | Requisitos funcionales, no funcionales e impacto arquitectónico</x:v>
      </x:c>
      <x:c r="K2" s="7" t="str">
        <x:v>Versión 0.3 | Requisitos funcionales, no funcionales e impacto arquitectónico</x:v>
      </x:c>
      <x:c r="L2" s="7" t="str">
        <x:v>Versión 0.3 | Requisitos funcionales, no funcionales e impacto arquitectónico</x:v>
      </x:c>
      <x:c r="M2" s="7" t="str">
        <x:v>Versión 0.3 | Requisitos funcionales, no funcionales e impacto arquitectónico</x:v>
      </x:c>
      <x:c r="N2" s="7" t="str">
        <x:v>Versión 0.3 | Requisitos funcionales, no funcionales e impacto arquitectónico</x:v>
      </x:c>
      <x:c r="O2" s="7" t="str">
        <x:v>Versión 0.3 | Requisitos funcionales, no funcionales e impacto arquitectónico</x:v>
      </x:c>
      <x:c r="P2" s="7" t="str">
        <x:v>Versión 0.3 | Requisitos funcionales, no funcionales e impacto arquitectónico</x:v>
      </x:c>
      <x:c r="Q2" s="7" t="str">
        <x:v>Versión 0.3 | Requisitos funcionales, no funcionales e impacto arquitectónico</x:v>
      </x:c>
      <x:c r="R2" s="7" t="str">
        <x:v>Versión 0.3 | Requisitos funcionales, no funcionales e impacto arquitectónico</x:v>
      </x:c>
    </x:row>
    <x:row r="4" ht="34" customHeight="1">
      <x:c r="A4" s="19" t="str">
        <x:v>ID</x:v>
      </x:c>
      <x:c r="B4" s="20" t="str">
        <x:v>Tipo</x:v>
      </x:c>
      <x:c r="C4" s="20" t="str">
        <x:v>Microservicio / Ámbito</x:v>
      </x:c>
      <x:c r="D4" s="20" t="str">
        <x:v>Actor</x:v>
      </x:c>
      <x:c r="E4" s="20" t="str">
        <x:v>Descripción</x:v>
      </x:c>
      <x:c r="F4" s="20" t="str">
        <x:v>Prioridad</x:v>
      </x:c>
      <x:c r="G4" s="20" t="str">
        <x:v>Criterio de aceptación</x:v>
      </x:c>
      <x:c r="H4" s="20" t="str">
        <x:v>Impacto principal</x:v>
      </x:c>
      <x:c r="I4" s="20" t="str">
        <x:v>Seguridad</x:v>
      </x:c>
      <x:c r="J4" s="20" t="str">
        <x:v>Escalabilidad</x:v>
      </x:c>
      <x:c r="K4" s="20" t="str">
        <x:v>Disponibilidad</x:v>
      </x:c>
      <x:c r="L4" s="20" t="str">
        <x:v>Mantenibilidad</x:v>
      </x:c>
      <x:c r="M4" s="20" t="str">
        <x:v>Persistencia</x:v>
      </x:c>
      <x:c r="N4" s="20" t="str">
        <x:v>Comunicación</x:v>
      </x:c>
      <x:c r="O4" s="20" t="str">
        <x:v>Componentes de arquitectura</x:v>
      </x:c>
      <x:c r="P4" s="20" t="str">
        <x:v>Reglas relacionadas</x:v>
      </x:c>
      <x:c r="Q4" s="20" t="str">
        <x:v>Estado</x:v>
      </x:c>
      <x:c r="R4" s="21" t="str">
        <x:v>Versión</x:v>
      </x:c>
    </x:row>
    <x:row r="5" ht="54" customHeight="1">
      <x:c r="A5" s="81" t="str">
        <x:v>RF-01</x:v>
      </x:c>
      <x:c r="B5" s="82" t="str">
        <x:v>Funcional</x:v>
      </x:c>
      <x:c r="C5" s="82" t="str">
        <x:v>Autenticación y Usuarios</x:v>
      </x:c>
      <x:c r="D5" s="82" t="str">
        <x:v>Estudiante</x:v>
      </x:c>
      <x:c r="E5" s="83" t="str">
        <x:v>Registrar una cuenta de estudiante con correo electrónico único y contraseña.</x:v>
      </x:c>
      <x:c r="F5" s="88" t="str">
        <x:v>Alta</x:v>
      </x:c>
      <x:c r="G5" s="83" t="str">
        <x:v>Con datos válidos y correo no registrado se crea una cuenta con rol ESTUDIANTE; un correo duplicado es rechazado.</x:v>
      </x:c>
      <x:c r="H5" s="82" t="str">
        <x:v>Seguridad y persistencia</x:v>
      </x:c>
      <x:c r="I5" s="82" t="str">
        <x:v>Alto</x:v>
      </x:c>
      <x:c r="J5" s="82" t="str">
        <x:v>Medio</x:v>
      </x:c>
      <x:c r="K5" s="82" t="str">
        <x:v>Medio</x:v>
      </x:c>
      <x:c r="L5" s="82" t="str">
        <x:v>Medio</x:v>
      </x:c>
      <x:c r="M5" s="82" t="str">
        <x:v>Alto</x:v>
      </x:c>
      <x:c r="N5" s="82" t="str">
        <x:v>REST síncrona</x:v>
      </x:c>
      <x:c r="O5" s="83" t="str">
        <x:v>API Gateway; Spring Security; BD Usuarios</x:v>
      </x:c>
      <x:c r="P5" s="83" t="str">
        <x:v>RN-01; RN-02</x:v>
      </x:c>
      <x:c r="Q5" s="82" t="str">
        <x:v>Aprobado</x:v>
      </x:c>
      <x:c r="R5" s="84" t="str">
        <x:v>0.3</x:v>
      </x:c>
    </x:row>
    <x:row r="6" ht="54" customHeight="1">
      <x:c r="A6" s="81" t="str">
        <x:v>RF-02</x:v>
      </x:c>
      <x:c r="B6" s="82" t="str">
        <x:v>Funcional</x:v>
      </x:c>
      <x:c r="C6" s="82" t="str">
        <x:v>Autenticación y Usuarios</x:v>
      </x:c>
      <x:c r="D6" s="82" t="str">
        <x:v>Todos</x:v>
      </x:c>
      <x:c r="E6" s="83" t="str">
        <x:v>Autenticar usuarios y generar un JWT con su identidad y rol.</x:v>
      </x:c>
      <x:c r="F6" s="88" t="str">
        <x:v>Alta</x:v>
      </x:c>
      <x:c r="G6" s="83" t="str">
        <x:v>Credenciales válidas generan un JWT; credenciales incorrectas responden 401 y no generan token.</x:v>
      </x:c>
      <x:c r="H6" s="82" t="str">
        <x:v>Seguridad y disponibilidad</x:v>
      </x:c>
      <x:c r="I6" s="82" t="str">
        <x:v>Alto</x:v>
      </x:c>
      <x:c r="J6" s="82" t="str">
        <x:v>Alto</x:v>
      </x:c>
      <x:c r="K6" s="82" t="str">
        <x:v>Alto</x:v>
      </x:c>
      <x:c r="L6" s="82" t="str">
        <x:v>Medio</x:v>
      </x:c>
      <x:c r="M6" s="82" t="str">
        <x:v>Medio</x:v>
      </x:c>
      <x:c r="N6" s="82" t="str">
        <x:v>REST síncrona</x:v>
      </x:c>
      <x:c r="O6" s="83" t="str">
        <x:v>API Gateway; Spring Security; JWT; BD Usuarios</x:v>
      </x:c>
      <x:c r="P6" s="83" t="str">
        <x:v>RN-01; RN-02</x:v>
      </x:c>
      <x:c r="Q6" s="82" t="str">
        <x:v>Aprobado</x:v>
      </x:c>
      <x:c r="R6" s="84" t="str">
        <x:v>0.3</x:v>
      </x:c>
    </x:row>
    <x:row r="7" ht="54" customHeight="1">
      <x:c r="A7" s="81" t="str">
        <x:v>RF-03</x:v>
      </x:c>
      <x:c r="B7" s="82" t="str">
        <x:v>Funcional</x:v>
      </x:c>
      <x:c r="C7" s="82" t="str">
        <x:v>Autenticación y Usuarios</x:v>
      </x:c>
      <x:c r="D7" s="82" t="str">
        <x:v>Administrador</x:v>
      </x:c>
      <x:c r="E7" s="83" t="str">
        <x:v>Registrar una cuenta profesional y asignarle el rol PROFESIONAL.</x:v>
      </x:c>
      <x:c r="F7" s="88" t="str">
        <x:v>Alta</x:v>
      </x:c>
      <x:c r="G7" s="83" t="str">
        <x:v>Un ADMINISTRADOR puede crear la cuenta profesional; cualquier otro rol recibe 403.</x:v>
      </x:c>
      <x:c r="H7" s="82" t="str">
        <x:v>Seguridad y persistencia</x:v>
      </x:c>
      <x:c r="I7" s="82" t="str">
        <x:v>Alto</x:v>
      </x:c>
      <x:c r="J7" s="82" t="str">
        <x:v>Bajo</x:v>
      </x:c>
      <x:c r="K7" s="82" t="str">
        <x:v>Medio</x:v>
      </x:c>
      <x:c r="L7" s="82" t="str">
        <x:v>Medio</x:v>
      </x:c>
      <x:c r="M7" s="82" t="str">
        <x:v>Alto</x:v>
      </x:c>
      <x:c r="N7" s="82" t="str">
        <x:v>REST síncrona</x:v>
      </x:c>
      <x:c r="O7" s="83" t="str">
        <x:v>API Gateway; Spring Security; BD Usuarios</x:v>
      </x:c>
      <x:c r="P7" s="83" t="str">
        <x:v>RN-01; RN-02</x:v>
      </x:c>
      <x:c r="Q7" s="82" t="str">
        <x:v>Aprobado</x:v>
      </x:c>
      <x:c r="R7" s="84" t="str">
        <x:v>0.3</x:v>
      </x:c>
    </x:row>
    <x:row r="8" ht="54" customHeight="1">
      <x:c r="A8" s="81" t="str">
        <x:v>RF-04</x:v>
      </x:c>
      <x:c r="B8" s="82" t="str">
        <x:v>Funcional</x:v>
      </x:c>
      <x:c r="C8" s="82" t="str">
        <x:v>Diario Emocional</x:v>
      </x:c>
      <x:c r="D8" s="82" t="str">
        <x:v>Estudiante</x:v>
      </x:c>
      <x:c r="E8" s="83" t="str">
        <x:v>Registrar un estado emocional diario seleccionando una opción y agregando un comentario opcional.</x:v>
      </x:c>
      <x:c r="F8" s="88" t="str">
        <x:v>Alta</x:v>
      </x:c>
      <x:c r="G8" s="83" t="str">
        <x:v>Se registra una opción de 1 a 5 y un comentario de hasta 500 caracteres; una segunda entrada del mismo día se rechaza.</x:v>
      </x:c>
      <x:c r="H8" s="82" t="str">
        <x:v>Privacidad y persistencia</x:v>
      </x:c>
      <x:c r="I8" s="82" t="str">
        <x:v>Alto</x:v>
      </x:c>
      <x:c r="J8" s="82" t="str">
        <x:v>Medio</x:v>
      </x:c>
      <x:c r="K8" s="82" t="str">
        <x:v>Medio</x:v>
      </x:c>
      <x:c r="L8" s="82" t="str">
        <x:v>Medio</x:v>
      </x:c>
      <x:c r="M8" s="82" t="str">
        <x:v>Alto</x:v>
      </x:c>
      <x:c r="N8" s="82" t="str">
        <x:v>REST síncrona</x:v>
      </x:c>
      <x:c r="O8" s="83" t="str">
        <x:v>API Gateway; MS Diario; BD Diario</x:v>
      </x:c>
      <x:c r="P8" s="83" t="str">
        <x:v>RN-05; RN-06; RN-07</x:v>
      </x:c>
      <x:c r="Q8" s="82" t="str">
        <x:v>Aprobado</x:v>
      </x:c>
      <x:c r="R8" s="84" t="str">
        <x:v>0.3</x:v>
      </x:c>
    </x:row>
    <x:row r="9" ht="54" customHeight="1">
      <x:c r="A9" s="81" t="str">
        <x:v>RF-05</x:v>
      </x:c>
      <x:c r="B9" s="82" t="str">
        <x:v>Funcional</x:v>
      </x:c>
      <x:c r="C9" s="82" t="str">
        <x:v>Diario Emocional</x:v>
      </x:c>
      <x:c r="D9" s="82" t="str">
        <x:v>Estudiante</x:v>
      </x:c>
      <x:c r="E9" s="83" t="str">
        <x:v>Consultar el historial emocional propio, incluyendo estado, comentario y fecha.</x:v>
      </x:c>
      <x:c r="F9" s="88" t="str">
        <x:v>Alta</x:v>
      </x:c>
      <x:c r="G9" s="83" t="str">
        <x:v>El estudiante autenticado obtiene solo sus registros, ordenados por fecha; otro usuario no puede consultarlos.</x:v>
      </x:c>
      <x:c r="H9" s="82" t="str">
        <x:v>Privacidad y rendimiento</x:v>
      </x:c>
      <x:c r="I9" s="82" t="str">
        <x:v>Alto</x:v>
      </x:c>
      <x:c r="J9" s="82" t="str">
        <x:v>Medio</x:v>
      </x:c>
      <x:c r="K9" s="82" t="str">
        <x:v>Medio</x:v>
      </x:c>
      <x:c r="L9" s="82" t="str">
        <x:v>Medio</x:v>
      </x:c>
      <x:c r="M9" s="82" t="str">
        <x:v>Alto</x:v>
      </x:c>
      <x:c r="N9" s="82" t="str">
        <x:v>REST síncrona</x:v>
      </x:c>
      <x:c r="O9" s="83" t="str">
        <x:v>API Gateway; MS Diario; BD Diario</x:v>
      </x:c>
      <x:c r="P9" s="83" t="str">
        <x:v>RN-05; RN-07</x:v>
      </x:c>
      <x:c r="Q9" s="82" t="str">
        <x:v>Aprobado</x:v>
      </x:c>
      <x:c r="R9" s="84" t="str">
        <x:v>0.3</x:v>
      </x:c>
    </x:row>
    <x:row r="10" ht="54" customHeight="1">
      <x:c r="A10" s="25" t="str">
        <x:v>RF-06</x:v>
      </x:c>
      <x:c r="B10" s="23" t="str">
        <x:v>Funcional</x:v>
      </x:c>
      <x:c r="C10" s="23" t="str">
        <x:v>Diario Emocional</x:v>
      </x:c>
      <x:c r="D10" s="23" t="str">
        <x:v>Estudiante</x:v>
      </x:c>
      <x:c r="E10" s="24" t="str">
        <x:v>Consultar un resumen con el promedio de los registros emocionales de los últimos siete días.</x:v>
      </x:c>
      <x:c r="F10" s="23" t="str">
        <x:v>Media</x:v>
      </x:c>
      <x:c r="G10" s="24" t="str">
        <x:v>El sistema calcula el promedio con los registros existentes de los últimos siete días, muestra su cantidad y lo identifica como informativo.</x:v>
      </x:c>
      <x:c r="H10" s="23" t="str">
        <x:v>Persistencia y privacidad</x:v>
      </x:c>
      <x:c r="I10" s="23" t="str">
        <x:v>Alto</x:v>
      </x:c>
      <x:c r="J10" s="23" t="str">
        <x:v>Medio</x:v>
      </x:c>
      <x:c r="K10" s="23" t="str">
        <x:v>Medio</x:v>
      </x:c>
      <x:c r="L10" s="23" t="str">
        <x:v>Medio</x:v>
      </x:c>
      <x:c r="M10" s="23" t="str">
        <x:v>Alto</x:v>
      </x:c>
      <x:c r="N10" s="23" t="str">
        <x:v>REST síncrona</x:v>
      </x:c>
      <x:c r="O10" s="24" t="str">
        <x:v>API Gateway; MS Diario; BD Diario</x:v>
      </x:c>
      <x:c r="P10" s="24" t="str">
        <x:v>RN-08; RN-09</x:v>
      </x:c>
      <x:c r="Q10" s="23" t="str">
        <x:v>Aprobado</x:v>
      </x:c>
      <x:c r="R10" s="33" t="str">
        <x:v>0.3</x:v>
      </x:c>
    </x:row>
    <x:row r="11" ht="54" customHeight="1">
      <x:c r="A11" s="81" t="str">
        <x:v>RF-07</x:v>
      </x:c>
      <x:c r="B11" s="82" t="str">
        <x:v>Funcional</x:v>
      </x:c>
      <x:c r="C11" s="82" t="str">
        <x:v>Profesionales y Disponibilidad</x:v>
      </x:c>
      <x:c r="D11" s="82" t="str">
        <x:v>Profesional</x:v>
      </x:c>
      <x:c r="E11" s="83" t="str">
        <x:v>Completar el perfil profesional al ingresar por primera vez.</x:v>
      </x:c>
      <x:c r="F11" s="88" t="str">
        <x:v>Alta</x:v>
      </x:c>
      <x:c r="G11" s="83" t="str">
        <x:v>Una cuenta con rol PROFESIONAL puede completar su propio perfil; otros roles no pueden hacerlo.</x:v>
      </x:c>
      <x:c r="H11" s="82" t="str">
        <x:v>Seguridad y persistencia</x:v>
      </x:c>
      <x:c r="I11" s="82" t="str">
        <x:v>Alto</x:v>
      </x:c>
      <x:c r="J11" s="82" t="str">
        <x:v>Bajo</x:v>
      </x:c>
      <x:c r="K11" s="82" t="str">
        <x:v>Medio</x:v>
      </x:c>
      <x:c r="L11" s="82" t="str">
        <x:v>Medio</x:v>
      </x:c>
      <x:c r="M11" s="82" t="str">
        <x:v>Alto</x:v>
      </x:c>
      <x:c r="N11" s="82" t="str">
        <x:v>REST síncrona</x:v>
      </x:c>
      <x:c r="O11" s="83" t="str">
        <x:v>API Gateway; MS Profesionales; BD Profesionales</x:v>
      </x:c>
      <x:c r="P11" s="83" t="str">
        <x:v>RN-03; RN-04</x:v>
      </x:c>
      <x:c r="Q11" s="82" t="str">
        <x:v>Aprobado</x:v>
      </x:c>
      <x:c r="R11" s="84" t="str">
        <x:v>0.3</x:v>
      </x:c>
    </x:row>
    <x:row r="12" ht="54" customHeight="1">
      <x:c r="A12" s="25" t="str">
        <x:v>RF-08</x:v>
      </x:c>
      <x:c r="B12" s="23" t="str">
        <x:v>Funcional</x:v>
      </x:c>
      <x:c r="C12" s="23" t="str">
        <x:v>Profesionales y Disponibilidad</x:v>
      </x:c>
      <x:c r="D12" s="23" t="str">
        <x:v>Profesional</x:v>
      </x:c>
      <x:c r="E12" s="24" t="str">
        <x:v>Actualizar la información del perfil profesional propio.</x:v>
      </x:c>
      <x:c r="F12" s="23" t="str">
        <x:v>Media</x:v>
      </x:c>
      <x:c r="G12" s="24" t="str">
        <x:v>El profesional modifica únicamente su perfil y los cambios quedan persistidos; modificar un perfil ajeno responde 403.</x:v>
      </x:c>
      <x:c r="H12" s="23" t="str">
        <x:v>Seguridad y mantenibilidad</x:v>
      </x:c>
      <x:c r="I12" s="23" t="str">
        <x:v>Alto</x:v>
      </x:c>
      <x:c r="J12" s="23" t="str">
        <x:v>Bajo</x:v>
      </x:c>
      <x:c r="K12" s="23" t="str">
        <x:v>Medio</x:v>
      </x:c>
      <x:c r="L12" s="23" t="str">
        <x:v>Medio</x:v>
      </x:c>
      <x:c r="M12" s="23" t="str">
        <x:v>Alto</x:v>
      </x:c>
      <x:c r="N12" s="23" t="str">
        <x:v>REST síncrona</x:v>
      </x:c>
      <x:c r="O12" s="24" t="str">
        <x:v>API Gateway; MS Profesionales; BD Profesionales</x:v>
      </x:c>
      <x:c r="P12" s="24" t="str">
        <x:v>RN-03; RN-04</x:v>
      </x:c>
      <x:c r="Q12" s="23" t="str">
        <x:v>Aprobado</x:v>
      </x:c>
      <x:c r="R12" s="33" t="str">
        <x:v>0.3</x:v>
      </x:c>
    </x:row>
    <x:row r="13" ht="54" customHeight="1">
      <x:c r="A13" s="25" t="str">
        <x:v>RF-09</x:v>
      </x:c>
      <x:c r="B13" s="23" t="str">
        <x:v>Funcional</x:v>
      </x:c>
      <x:c r="C13" s="23" t="str">
        <x:v>Profesionales y Disponibilidad</x:v>
      </x:c>
      <x:c r="D13" s="23" t="str">
        <x:v>Estudiante</x:v>
      </x:c>
      <x:c r="E13" s="24" t="str">
        <x:v>Consultar la información pública de los profesionales.</x:v>
      </x:c>
      <x:c r="F13" s="23" t="str">
        <x:v>Media</x:v>
      </x:c>
      <x:c r="G13" s="24" t="str">
        <x:v>El estudiante obtiene solo perfiles completos y activos, sin datos privados ni credenciales.</x:v>
      </x:c>
      <x:c r="H13" s="23" t="str">
        <x:v>Disponibilidad y privacidad</x:v>
      </x:c>
      <x:c r="I13" s="23" t="str">
        <x:v>Medio</x:v>
      </x:c>
      <x:c r="J13" s="23" t="str">
        <x:v>Medio</x:v>
      </x:c>
      <x:c r="K13" s="23" t="str">
        <x:v>Medio</x:v>
      </x:c>
      <x:c r="L13" s="23" t="str">
        <x:v>Medio</x:v>
      </x:c>
      <x:c r="M13" s="23" t="str">
        <x:v>Medio</x:v>
      </x:c>
      <x:c r="N13" s="23" t="str">
        <x:v>REST síncrona</x:v>
      </x:c>
      <x:c r="O13" s="24" t="str">
        <x:v>API Gateway; MS Profesionales; BD Profesionales</x:v>
      </x:c>
      <x:c r="P13" s="24" t="str">
        <x:v>RN-04</x:v>
      </x:c>
      <x:c r="Q13" s="23" t="str">
        <x:v>Aprobado</x:v>
      </x:c>
      <x:c r="R13" s="33" t="str">
        <x:v>0.3</x:v>
      </x:c>
    </x:row>
    <x:row r="14" ht="54" customHeight="1">
      <x:c r="A14" s="81" t="str">
        <x:v>RF-10</x:v>
      </x:c>
      <x:c r="B14" s="82" t="str">
        <x:v>Funcional</x:v>
      </x:c>
      <x:c r="C14" s="82" t="str">
        <x:v>Profesionales y Disponibilidad</x:v>
      </x:c>
      <x:c r="D14" s="82" t="str">
        <x:v>Profesional</x:v>
      </x:c>
      <x:c r="E14" s="83" t="str">
        <x:v>Consultar los horarios propios registrados.</x:v>
      </x:c>
      <x:c r="F14" s="88" t="str">
        <x:v>Alta</x:v>
      </x:c>
      <x:c r="G14" s="83" t="str">
        <x:v>El profesional obtiene exclusivamente sus horarios y estados de disponibilidad.</x:v>
      </x:c>
      <x:c r="H14" s="82" t="str">
        <x:v>Seguridad y persistencia</x:v>
      </x:c>
      <x:c r="I14" s="82" t="str">
        <x:v>Alto</x:v>
      </x:c>
      <x:c r="J14" s="82" t="str">
        <x:v>Medio</x:v>
      </x:c>
      <x:c r="K14" s="82" t="str">
        <x:v>Medio</x:v>
      </x:c>
      <x:c r="L14" s="82" t="str">
        <x:v>Medio</x:v>
      </x:c>
      <x:c r="M14" s="82" t="str">
        <x:v>Alto</x:v>
      </x:c>
      <x:c r="N14" s="82" t="str">
        <x:v>REST síncrona</x:v>
      </x:c>
      <x:c r="O14" s="83" t="str">
        <x:v>API Gateway; MS Profesionales; BD Disponibilidad</x:v>
      </x:c>
      <x:c r="P14" s="83" t="str">
        <x:v>RN-10</x:v>
      </x:c>
      <x:c r="Q14" s="82" t="str">
        <x:v>Aprobado</x:v>
      </x:c>
      <x:c r="R14" s="84" t="str">
        <x:v>0.3</x:v>
      </x:c>
    </x:row>
    <x:row r="15" ht="54" customHeight="1">
      <x:c r="A15" s="81" t="str">
        <x:v>RF-11</x:v>
      </x:c>
      <x:c r="B15" s="82" t="str">
        <x:v>Funcional</x:v>
      </x:c>
      <x:c r="C15" s="82" t="str">
        <x:v>Profesionales y Disponibilidad</x:v>
      </x:c>
      <x:c r="D15" s="82" t="str">
        <x:v>Profesional</x:v>
      </x:c>
      <x:c r="E15" s="83" t="str">
        <x:v>Registrar un horario disponible.</x:v>
      </x:c>
      <x:c r="F15" s="88" t="str">
        <x:v>Alta</x:v>
      </x:c>
      <x:c r="G15" s="83" t="str">
        <x:v>Se registra un horario futuro que no se superpone con otro del profesional; una superposición es rechazada.</x:v>
      </x:c>
      <x:c r="H15" s="82" t="str">
        <x:v>Consistencia y persistencia</x:v>
      </x:c>
      <x:c r="I15" s="82" t="str">
        <x:v>Alto</x:v>
      </x:c>
      <x:c r="J15" s="82" t="str">
        <x:v>Medio</x:v>
      </x:c>
      <x:c r="K15" s="82" t="str">
        <x:v>Alto</x:v>
      </x:c>
      <x:c r="L15" s="82" t="str">
        <x:v>Medio</x:v>
      </x:c>
      <x:c r="M15" s="82" t="str">
        <x:v>Alto</x:v>
      </x:c>
      <x:c r="N15" s="82" t="str">
        <x:v>REST síncrona</x:v>
      </x:c>
      <x:c r="O15" s="83" t="str">
        <x:v>API Gateway; MS Profesionales; BD Disponibilidad</x:v>
      </x:c>
      <x:c r="P15" s="83" t="str">
        <x:v>RN-03; RN-10; RN-11</x:v>
      </x:c>
      <x:c r="Q15" s="82" t="str">
        <x:v>Aprobado</x:v>
      </x:c>
      <x:c r="R15" s="84" t="str">
        <x:v>0.3</x:v>
      </x:c>
    </x:row>
    <x:row r="16" ht="54" customHeight="1">
      <x:c r="A16" s="25" t="str">
        <x:v>RF-12</x:v>
      </x:c>
      <x:c r="B16" s="23" t="str">
        <x:v>Funcional</x:v>
      </x:c>
      <x:c r="C16" s="23" t="str">
        <x:v>Profesionales y Disponibilidad</x:v>
      </x:c>
      <x:c r="D16" s="23" t="str">
        <x:v>Profesional</x:v>
      </x:c>
      <x:c r="E16" s="24" t="str">
        <x:v>Modificar un horario propio que no esté reservado.</x:v>
      </x:c>
      <x:c r="F16" s="23" t="str">
        <x:v>Media</x:v>
      </x:c>
      <x:c r="G16" s="24" t="str">
        <x:v>Un horario futuro y disponible puede modificarse; uno reservado o ajeno es rechazado.</x:v>
      </x:c>
      <x:c r="H16" s="23" t="str">
        <x:v>Consistencia y seguridad</x:v>
      </x:c>
      <x:c r="I16" s="23" t="str">
        <x:v>Alto</x:v>
      </x:c>
      <x:c r="J16" s="23" t="str">
        <x:v>Bajo</x:v>
      </x:c>
      <x:c r="K16" s="23" t="str">
        <x:v>Alto</x:v>
      </x:c>
      <x:c r="L16" s="23" t="str">
        <x:v>Medio</x:v>
      </x:c>
      <x:c r="M16" s="23" t="str">
        <x:v>Alto</x:v>
      </x:c>
      <x:c r="N16" s="23" t="str">
        <x:v>REST síncrona</x:v>
      </x:c>
      <x:c r="O16" s="24" t="str">
        <x:v>API Gateway; MS Profesionales; BD Disponibilidad</x:v>
      </x:c>
      <x:c r="P16" s="24" t="str">
        <x:v>RN-10; RN-11; RN-12</x:v>
      </x:c>
      <x:c r="Q16" s="23" t="str">
        <x:v>Aprobado</x:v>
      </x:c>
      <x:c r="R16" s="33" t="str">
        <x:v>0.3</x:v>
      </x:c>
    </x:row>
    <x:row r="17" ht="54" customHeight="1">
      <x:c r="A17" s="25" t="str">
        <x:v>RF-13</x:v>
      </x:c>
      <x:c r="B17" s="23" t="str">
        <x:v>Funcional</x:v>
      </x:c>
      <x:c r="C17" s="23" t="str">
        <x:v>Profesionales y Disponibilidad</x:v>
      </x:c>
      <x:c r="D17" s="23" t="str">
        <x:v>Profesional</x:v>
      </x:c>
      <x:c r="E17" s="24" t="str">
        <x:v>Eliminar un horario propio que no esté reservado.</x:v>
      </x:c>
      <x:c r="F17" s="23" t="str">
        <x:v>Media</x:v>
      </x:c>
      <x:c r="G17" s="24" t="str">
        <x:v>Un horario futuro y disponible puede eliminarse; uno reservado o ajeno es rechazado.</x:v>
      </x:c>
      <x:c r="H17" s="23" t="str">
        <x:v>Consistencia y seguridad</x:v>
      </x:c>
      <x:c r="I17" s="23" t="str">
        <x:v>Alto</x:v>
      </x:c>
      <x:c r="J17" s="23" t="str">
        <x:v>Bajo</x:v>
      </x:c>
      <x:c r="K17" s="23" t="str">
        <x:v>Alto</x:v>
      </x:c>
      <x:c r="L17" s="23" t="str">
        <x:v>Medio</x:v>
      </x:c>
      <x:c r="M17" s="23" t="str">
        <x:v>Alto</x:v>
      </x:c>
      <x:c r="N17" s="23" t="str">
        <x:v>REST síncrona</x:v>
      </x:c>
      <x:c r="O17" s="24" t="str">
        <x:v>API Gateway; MS Profesionales; BD Disponibilidad</x:v>
      </x:c>
      <x:c r="P17" s="24" t="str">
        <x:v>RN-10; RN-12</x:v>
      </x:c>
      <x:c r="Q17" s="23" t="str">
        <x:v>Aprobado</x:v>
      </x:c>
      <x:c r="R17" s="33" t="str">
        <x:v>0.3</x:v>
      </x:c>
    </x:row>
    <x:row r="18" ht="54" customHeight="1">
      <x:c r="A18" s="81" t="str">
        <x:v>RF-14</x:v>
      </x:c>
      <x:c r="B18" s="82" t="str">
        <x:v>Funcional</x:v>
      </x:c>
      <x:c r="C18" s="82" t="str">
        <x:v>Solicitudes de Cita</x:v>
      </x:c>
      <x:c r="D18" s="82" t="str">
        <x:v>Estudiante</x:v>
      </x:c>
      <x:c r="E18" s="83" t="str">
        <x:v>Crear una solicitud de cita indicando una fecha o rango horario preferido.</x:v>
      </x:c>
      <x:c r="F18" s="88" t="str">
        <x:v>Alta</x:v>
      </x:c>
      <x:c r="G18" s="83" t="str">
        <x:v>Sin otra cita activa, se crea una solicitud PENDIENTE y se confirma su recepción; si existe una activa se responde 409.</x:v>
      </x:c>
      <x:c r="H18" s="82" t="str">
        <x:v>Escalabilidad y disponibilidad</x:v>
      </x:c>
      <x:c r="I18" s="82" t="str">
        <x:v>Alto</x:v>
      </x:c>
      <x:c r="J18" s="82" t="str">
        <x:v>Alto</x:v>
      </x:c>
      <x:c r="K18" s="82" t="str">
        <x:v>Alto</x:v>
      </x:c>
      <x:c r="L18" s="82" t="str">
        <x:v>Medio</x:v>
      </x:c>
      <x:c r="M18" s="82" t="str">
        <x:v>Alto</x:v>
      </x:c>
      <x:c r="N18" s="82" t="str">
        <x:v>REST + evento asíncrono</x:v>
      </x:c>
      <x:c r="O18" s="83" t="str">
        <x:v>API Gateway; MS Citas; BD Citas; SQS</x:v>
      </x:c>
      <x:c r="P18" s="83" t="str">
        <x:v>RN-13; RN-14; RN-22</x:v>
      </x:c>
      <x:c r="Q18" s="82" t="str">
        <x:v>Aprobado</x:v>
      </x:c>
      <x:c r="R18" s="84" t="str">
        <x:v>0.3</x:v>
      </x:c>
    </x:row>
    <x:row r="19" ht="54" customHeight="1">
      <x:c r="A19" s="81" t="str">
        <x:v>RF-15</x:v>
      </x:c>
      <x:c r="B19" s="82" t="str">
        <x:v>Funcional</x:v>
      </x:c>
      <x:c r="C19" s="82" t="str">
        <x:v>Solicitudes de Cita</x:v>
      </x:c>
      <x:c r="D19" s="82" t="str">
        <x:v>Sistema MindSet</x:v>
      </x:c>
      <x:c r="E19" s="83" t="str">
        <x:v>Procesar la solicitud y asignar atómicamente un profesional disponible.</x:v>
      </x:c>
      <x:c r="F19" s="88" t="str">
        <x:v>Alta</x:v>
      </x:c>
      <x:c r="G19" s="83" t="str">
        <x:v>Cada solicitud termina CONFIRMADA con una única reserva o RECHAZADA; repetir el mensaje no genera reservas duplicadas.</x:v>
      </x:c>
      <x:c r="H19" s="82" t="str">
        <x:v>Resiliencia y consistencia</x:v>
      </x:c>
      <x:c r="I19" s="82" t="str">
        <x:v>Alto</x:v>
      </x:c>
      <x:c r="J19" s="82" t="str">
        <x:v>Alto</x:v>
      </x:c>
      <x:c r="K19" s="82" t="str">
        <x:v>Alto</x:v>
      </x:c>
      <x:c r="L19" s="82" t="str">
        <x:v>Alto</x:v>
      </x:c>
      <x:c r="M19" s="82" t="str">
        <x:v>Alto</x:v>
      </x:c>
      <x:c r="N19" s="82" t="str">
        <x:v>SQS + REST interna</x:v>
      </x:c>
      <x:c r="O19" s="83" t="str">
        <x:v>SQS; Lambda; Service Registry; Circuit Breaker; DLQ; MS Profesionales</x:v>
      </x:c>
      <x:c r="P19" s="83" t="str">
        <x:v>RN-12; RN-15; RN-16; RN-17</x:v>
      </x:c>
      <x:c r="Q19" s="82" t="str">
        <x:v>Aprobado</x:v>
      </x:c>
      <x:c r="R19" s="84" t="str">
        <x:v>0.3</x:v>
      </x:c>
    </x:row>
    <x:row r="20" ht="54" customHeight="1">
      <x:c r="A20" s="81" t="str">
        <x:v>RF-16</x:v>
      </x:c>
      <x:c r="B20" s="82" t="str">
        <x:v>Funcional</x:v>
      </x:c>
      <x:c r="C20" s="82" t="str">
        <x:v>Solicitudes de Cita</x:v>
      </x:c>
      <x:c r="D20" s="82" t="str">
        <x:v>Estudiante</x:v>
      </x:c>
      <x:c r="E20" s="83" t="str">
        <x:v>Consultar el estado y el historial propio de solicitudes.</x:v>
      </x:c>
      <x:c r="F20" s="88" t="str">
        <x:v>Alta</x:v>
      </x:c>
      <x:c r="G20" s="83" t="str">
        <x:v>El estudiante obtiene exclusivamente sus solicitudes y estados; otro usuario no puede consultarlas.</x:v>
      </x:c>
      <x:c r="H20" s="82" t="str">
        <x:v>Seguridad y disponibilidad</x:v>
      </x:c>
      <x:c r="I20" s="82" t="str">
        <x:v>Alto</x:v>
      </x:c>
      <x:c r="J20" s="82" t="str">
        <x:v>Medio</x:v>
      </x:c>
      <x:c r="K20" s="82" t="str">
        <x:v>Alto</x:v>
      </x:c>
      <x:c r="L20" s="82" t="str">
        <x:v>Medio</x:v>
      </x:c>
      <x:c r="M20" s="82" t="str">
        <x:v>Alto</x:v>
      </x:c>
      <x:c r="N20" s="82" t="str">
        <x:v>REST síncrona</x:v>
      </x:c>
      <x:c r="O20" s="83" t="str">
        <x:v>API Gateway; MS Citas; BD Citas</x:v>
      </x:c>
      <x:c r="P20" s="83" t="str">
        <x:v>RN-18</x:v>
      </x:c>
      <x:c r="Q20" s="82" t="str">
        <x:v>Aprobado</x:v>
      </x:c>
      <x:c r="R20" s="84" t="str">
        <x:v>0.3</x:v>
      </x:c>
    </x:row>
    <x:row r="21" ht="54" customHeight="1">
      <x:c r="A21" s="81" t="str">
        <x:v>RF-17</x:v>
      </x:c>
      <x:c r="B21" s="82" t="str">
        <x:v>Funcional</x:v>
      </x:c>
      <x:c r="C21" s="82" t="str">
        <x:v>Solicitudes de Cita</x:v>
      </x:c>
      <x:c r="D21" s="82" t="str">
        <x:v>Profesional</x:v>
      </x:c>
      <x:c r="E21" s="83" t="str">
        <x:v>Consultar las citas asignadas.</x:v>
      </x:c>
      <x:c r="F21" s="88" t="str">
        <x:v>Alta</x:v>
      </x:c>
      <x:c r="G21" s="83" t="str">
        <x:v>El profesional obtiene solo las citas asignadas a su identificador.</x:v>
      </x:c>
      <x:c r="H21" s="82" t="str">
        <x:v>Seguridad y disponibilidad</x:v>
      </x:c>
      <x:c r="I21" s="82" t="str">
        <x:v>Alto</x:v>
      </x:c>
      <x:c r="J21" s="82" t="str">
        <x:v>Medio</x:v>
      </x:c>
      <x:c r="K21" s="82" t="str">
        <x:v>Alto</x:v>
      </x:c>
      <x:c r="L21" s="82" t="str">
        <x:v>Medio</x:v>
      </x:c>
      <x:c r="M21" s="82" t="str">
        <x:v>Alto</x:v>
      </x:c>
      <x:c r="N21" s="82" t="str">
        <x:v>REST síncrona</x:v>
      </x:c>
      <x:c r="O21" s="83" t="str">
        <x:v>API Gateway; MS Citas; BD Citas</x:v>
      </x:c>
      <x:c r="P21" s="83" t="str">
        <x:v>RN-19</x:v>
      </x:c>
      <x:c r="Q21" s="82" t="str">
        <x:v>Aprobado</x:v>
      </x:c>
      <x:c r="R21" s="84" t="str">
        <x:v>0.3</x:v>
      </x:c>
    </x:row>
    <x:row r="22" ht="54" customHeight="1">
      <x:c r="A22" s="25" t="str">
        <x:v>RF-18</x:v>
      </x:c>
      <x:c r="B22" s="23" t="str">
        <x:v>Funcional</x:v>
      </x:c>
      <x:c r="C22" s="23" t="str">
        <x:v>Solicitudes de Cita</x:v>
      </x:c>
      <x:c r="D22" s="23" t="str">
        <x:v>Profesional</x:v>
      </x:c>
      <x:c r="E22" s="24" t="str">
        <x:v>Marcar una cita confirmada como completada.</x:v>
      </x:c>
      <x:c r="F22" s="23" t="str">
        <x:v>Media</x:v>
      </x:c>
      <x:c r="G22" s="24" t="str">
        <x:v>El profesional asignado puede cambiar una cita CONFIRMADA a COMPLETADA; cualquier otra transición es rechazada.</x:v>
      </x:c>
      <x:c r="H22" s="23" t="str">
        <x:v>Seguridad y consistencia</x:v>
      </x:c>
      <x:c r="I22" s="23" t="str">
        <x:v>Alto</x:v>
      </x:c>
      <x:c r="J22" s="23" t="str">
        <x:v>Bajo</x:v>
      </x:c>
      <x:c r="K22" s="23" t="str">
        <x:v>Medio</x:v>
      </x:c>
      <x:c r="L22" s="23" t="str">
        <x:v>Medio</x:v>
      </x:c>
      <x:c r="M22" s="23" t="str">
        <x:v>Alto</x:v>
      </x:c>
      <x:c r="N22" s="23" t="str">
        <x:v>REST síncrona</x:v>
      </x:c>
      <x:c r="O22" s="24" t="str">
        <x:v>API Gateway; MS Citas; BD Citas</x:v>
      </x:c>
      <x:c r="P22" s="24" t="str">
        <x:v>RN-19; RN-20; RN-22</x:v>
      </x:c>
      <x:c r="Q22" s="23" t="str">
        <x:v>Aprobado</x:v>
      </x:c>
      <x:c r="R22" s="33" t="str">
        <x:v>0.3</x:v>
      </x:c>
    </x:row>
    <x:row r="23" ht="54" customHeight="1">
      <x:c r="A23" s="25" t="str">
        <x:v>RF-19</x:v>
      </x:c>
      <x:c r="B23" s="23" t="str">
        <x:v>Funcional</x:v>
      </x:c>
      <x:c r="C23" s="23" t="str">
        <x:v>Solicitudes de Cita</x:v>
      </x:c>
      <x:c r="D23" s="23" t="str">
        <x:v>Sistema MindSet</x:v>
      </x:c>
      <x:c r="E23" s="24" t="str">
        <x:v>Enviar una notificación cuando una solicitud sea confirmada o rechazada.</x:v>
      </x:c>
      <x:c r="F23" s="23" t="str">
        <x:v>Media</x:v>
      </x:c>
      <x:c r="G23" s="24" t="str">
        <x:v>Una resolución genera un envío por SES; un error de correo se registra y no altera el estado de la cita.</x:v>
      </x:c>
      <x:c r="H23" s="23" t="str">
        <x:v>Integración y disponibilidad</x:v>
      </x:c>
      <x:c r="I23" s="23" t="str">
        <x:v>Medio</x:v>
      </x:c>
      <x:c r="J23" s="23" t="str">
        <x:v>Medio</x:v>
      </x:c>
      <x:c r="K23" s="23" t="str">
        <x:v>Medio</x:v>
      </x:c>
      <x:c r="L23" s="23" t="str">
        <x:v>Medio</x:v>
      </x:c>
      <x:c r="M23" s="23" t="str">
        <x:v>Bajo</x:v>
      </x:c>
      <x:c r="N23" s="23" t="str">
        <x:v>Asíncrona externa</x:v>
      </x:c>
      <x:c r="O23" s="24" t="str">
        <x:v>Lambda; Amazon SES; CloudWatch</x:v>
      </x:c>
      <x:c r="P23" s="24" t="str">
        <x:v>RN-21</x:v>
      </x:c>
      <x:c r="Q23" s="23" t="str">
        <x:v>Aprobado</x:v>
      </x:c>
      <x:c r="R23" s="33" t="str">
        <x:v>0.3</x:v>
      </x:c>
    </x:row>
    <x:row r="24" ht="54" customHeight="1">
      <x:c r="A24" s="81" t="str">
        <x:v>RNF-01</x:v>
      </x:c>
      <x:c r="B24" s="82" t="str">
        <x:v>No funcional</x:v>
      </x:c>
      <x:c r="C24" s="82" t="str">
        <x:v>Transversal</x:v>
      </x:c>
      <x:c r="D24" s="82" t="str">
        <x:v>Sistema</x:v>
      </x:c>
      <x:c r="E24" s="83" t="str">
        <x:v>Toda operación protegida debe exigir un JWT válido y comprobar rol y propiedad de los datos.</x:v>
      </x:c>
      <x:c r="F24" s="88" t="str">
        <x:v>Alta</x:v>
      </x:c>
      <x:c r="G24" s="83" t="str">
        <x:v>Sin token o con token inválido se responde 401; con rol o propiedad insuficiente se responde 403.</x:v>
      </x:c>
      <x:c r="H24" s="82" t="str">
        <x:v>Seguridad</x:v>
      </x:c>
      <x:c r="I24" s="82" t="str">
        <x:v>Alto</x:v>
      </x:c>
      <x:c r="J24" s="82" t="str">
        <x:v>Medio</x:v>
      </x:c>
      <x:c r="K24" s="82" t="str">
        <x:v>Alto</x:v>
      </x:c>
      <x:c r="L24" s="82" t="str">
        <x:v>Medio</x:v>
      </x:c>
      <x:c r="M24" s="82" t="str">
        <x:v>Medio</x:v>
      </x:c>
      <x:c r="N24" s="82" t="str">
        <x:v>Transversal</x:v>
      </x:c>
      <x:c r="O24" s="83" t="str">
        <x:v>API Gateway; Spring Security; JWT; RBAC</x:v>
      </x:c>
      <x:c r="P24" s="83" t="str">
        <x:v>RN-02; RN-10; RN-18; RN-19</x:v>
      </x:c>
      <x:c r="Q24" s="82" t="str">
        <x:v>Aprobado</x:v>
      </x:c>
      <x:c r="R24" s="84" t="str">
        <x:v>0.3</x:v>
      </x:c>
    </x:row>
    <x:row r="25" ht="54" customHeight="1">
      <x:c r="A25" s="81" t="str">
        <x:v>RNF-02</x:v>
      </x:c>
      <x:c r="B25" s="82" t="str">
        <x:v>No funcional</x:v>
      </x:c>
      <x:c r="C25" s="82" t="str">
        <x:v>Transversal</x:v>
      </x:c>
      <x:c r="D25" s="82" t="str">
        <x:v>Sistema</x:v>
      </x:c>
      <x:c r="E25" s="83" t="str">
        <x:v>Proteger contraseñas, comunicaciones y datos sensibles mediante BCrypt, HTTPS/TLS y cifrado en reposo.</x:v>
      </x:c>
      <x:c r="F25" s="88" t="str">
        <x:v>Alta</x:v>
      </x:c>
      <x:c r="G25" s="83" t="str">
        <x:v>No existen contraseñas en texto plano; el tráfico usa TLS y las bases sensibles tienen cifrado habilitado.</x:v>
      </x:c>
      <x:c r="H25" s="82" t="str">
        <x:v>Seguridad</x:v>
      </x:c>
      <x:c r="I25" s="82" t="str">
        <x:v>Alto</x:v>
      </x:c>
      <x:c r="J25" s="82" t="str">
        <x:v>Bajo</x:v>
      </x:c>
      <x:c r="K25" s="82" t="str">
        <x:v>Alto</x:v>
      </x:c>
      <x:c r="L25" s="82" t="str">
        <x:v>Medio</x:v>
      </x:c>
      <x:c r="M25" s="82" t="str">
        <x:v>Alto</x:v>
      </x:c>
      <x:c r="N25" s="82" t="str">
        <x:v>Transversal</x:v>
      </x:c>
      <x:c r="O25" s="83" t="str">
        <x:v>BCrypt; TLS; cifrado RDS; IAM</x:v>
      </x:c>
      <x:c r="P25" s="83" t="str">
        <x:v>RN-01; RN-07</x:v>
      </x:c>
      <x:c r="Q25" s="82" t="str">
        <x:v>Aprobado</x:v>
      </x:c>
      <x:c r="R25" s="84" t="str">
        <x:v>0.3</x:v>
      </x:c>
    </x:row>
    <x:row r="26" ht="54" customHeight="1">
      <x:c r="A26" s="81" t="str">
        <x:v>RNF-03</x:v>
      </x:c>
      <x:c r="B26" s="82" t="str">
        <x:v>No funcional</x:v>
      </x:c>
      <x:c r="C26" s="82" t="str">
        <x:v>Diario Emocional</x:v>
      </x:c>
      <x:c r="D26" s="82" t="str">
        <x:v>Sistema</x:v>
      </x:c>
      <x:c r="E26" s="83" t="str">
        <x:v>Impedir que registros emocionales y comentarios aparezcan en logs, mensajes SQS o accesos ajenos.</x:v>
      </x:c>
      <x:c r="F26" s="88" t="str">
        <x:v>Alta</x:v>
      </x:c>
      <x:c r="G26" s="83" t="str">
        <x:v>Una revisión de logs y mensajes no encuentra comentarios; un usuario distinto recibe acceso denegado.</x:v>
      </x:c>
      <x:c r="H26" s="82" t="str">
        <x:v>Privacidad</x:v>
      </x:c>
      <x:c r="I26" s="82" t="str">
        <x:v>Alto</x:v>
      </x:c>
      <x:c r="J26" s="82" t="str">
        <x:v>Bajo</x:v>
      </x:c>
      <x:c r="K26" s="82" t="str">
        <x:v>Alto</x:v>
      </x:c>
      <x:c r="L26" s="82" t="str">
        <x:v>Medio</x:v>
      </x:c>
      <x:c r="M26" s="82" t="str">
        <x:v>Alto</x:v>
      </x:c>
      <x:c r="N26" s="82" t="str">
        <x:v>Transversal</x:v>
      </x:c>
      <x:c r="O26" s="83" t="str">
        <x:v>Spring Security; políticas de logging; BD Diario</x:v>
      </x:c>
      <x:c r="P26" s="83" t="str">
        <x:v>RN-07; RN-08; RN-09</x:v>
      </x:c>
      <x:c r="Q26" s="82" t="str">
        <x:v>Aprobado</x:v>
      </x:c>
      <x:c r="R26" s="84" t="str">
        <x:v>0.3</x:v>
      </x:c>
    </x:row>
    <x:row r="27" ht="54" customHeight="1">
      <x:c r="A27" s="81" t="str">
        <x:v>RNF-04</x:v>
      </x:c>
      <x:c r="B27" s="82" t="str">
        <x:v>No funcional</x:v>
      </x:c>
      <x:c r="C27" s="82" t="str">
        <x:v>Transversal</x:v>
      </x:c>
      <x:c r="D27" s="82" t="str">
        <x:v>Sistema</x:v>
      </x:c>
      <x:c r="E27" s="83" t="str">
        <x:v>Responder el 95 % de las operaciones síncronas en un máximo de dos segundos con hasta 50 solicitudes concurrentes.</x:v>
      </x:c>
      <x:c r="F27" s="88" t="str">
        <x:v>Alta</x:v>
      </x:c>
      <x:c r="G27" s="83" t="str">
        <x:v>Una prueba de carga con 50 solicitudes concurrentes registra percentil 95 menor o igual a dos segundos.</x:v>
      </x:c>
      <x:c r="H27" s="82" t="str">
        <x:v>Rendimiento</x:v>
      </x:c>
      <x:c r="I27" s="82" t="str">
        <x:v>Medio</x:v>
      </x:c>
      <x:c r="J27" s="82" t="str">
        <x:v>Alto</x:v>
      </x:c>
      <x:c r="K27" s="82" t="str">
        <x:v>Alto</x:v>
      </x:c>
      <x:c r="L27" s="82" t="str">
        <x:v>Medio</x:v>
      </x:c>
      <x:c r="M27" s="82" t="str">
        <x:v>Medio</x:v>
      </x:c>
      <x:c r="N27" s="82" t="str">
        <x:v>REST síncrona</x:v>
      </x:c>
      <x:c r="O27" s="83" t="str">
        <x:v>API Gateway; autoescalado; CloudWatch</x:v>
      </x:c>
      <x:c r="P27" s="83" t="str">
        <x:v>RN-01; RN-13</x:v>
      </x:c>
      <x:c r="Q27" s="82" t="str">
        <x:v>Aprobado</x:v>
      </x:c>
      <x:c r="R27" s="84" t="str">
        <x:v>0.3</x:v>
      </x:c>
    </x:row>
    <x:row r="28" ht="54" customHeight="1">
      <x:c r="A28" s="81" t="str">
        <x:v>RNF-05</x:v>
      </x:c>
      <x:c r="B28" s="82" t="str">
        <x:v>No funcional</x:v>
      </x:c>
      <x:c r="C28" s="82" t="str">
        <x:v>Solicitudes de Cita</x:v>
      </x:c>
      <x:c r="D28" s="82" t="str">
        <x:v>Sistema</x:v>
      </x:c>
      <x:c r="E28" s="83" t="str">
        <x:v>Procesar el 95 % de las solicitudes de cita en un máximo de 30 segundos bajo condiciones normales.</x:v>
      </x:c>
      <x:c r="F28" s="88" t="str">
        <x:v>Alta</x:v>
      </x:c>
      <x:c r="G28" s="83" t="str">
        <x:v>Las métricas muestran que al menos el 95 % pasa de PENDIENTE a un estado final en 30 segundos o menos.</x:v>
      </x:c>
      <x:c r="H28" s="82" t="str">
        <x:v>Rendimiento asíncrono</x:v>
      </x:c>
      <x:c r="I28" s="82" t="str">
        <x:v>Medio</x:v>
      </x:c>
      <x:c r="J28" s="82" t="str">
        <x:v>Alto</x:v>
      </x:c>
      <x:c r="K28" s="82" t="str">
        <x:v>Alto</x:v>
      </x:c>
      <x:c r="L28" s="82" t="str">
        <x:v>Medio</x:v>
      </x:c>
      <x:c r="M28" s="82" t="str">
        <x:v>Alto</x:v>
      </x:c>
      <x:c r="N28" s="82" t="str">
        <x:v>Asíncrona SQS</x:v>
      </x:c>
      <x:c r="O28" s="83" t="str">
        <x:v>SQS; Lambda; CloudWatch</x:v>
      </x:c>
      <x:c r="P28" s="83" t="str">
        <x:v>RN-14; RN-15; RN-16</x:v>
      </x:c>
      <x:c r="Q28" s="82" t="str">
        <x:v>Aprobado</x:v>
      </x:c>
      <x:c r="R28" s="84" t="str">
        <x:v>0.3</x:v>
      </x:c>
    </x:row>
    <x:row r="29" ht="54" customHeight="1">
      <x:c r="A29" s="81" t="str">
        <x:v>RNF-06</x:v>
      </x:c>
      <x:c r="B29" s="82" t="str">
        <x:v>No funcional</x:v>
      </x:c>
      <x:c r="C29" s="82" t="str">
        <x:v>Transversal</x:v>
      </x:c>
      <x:c r="D29" s="82" t="str">
        <x:v>Sistema</x:v>
      </x:c>
      <x:c r="E29" s="83" t="str">
        <x:v>Mantener un objetivo de disponibilidad mensual de 99,5 % y aislar los fallos entre servicios.</x:v>
      </x:c>
      <x:c r="F29" s="88" t="str">
        <x:v>Alta</x:v>
      </x:c>
      <x:c r="G29" s="83" t="str">
        <x:v>Las métricas mensuales alcanzan 99,5 % y la falla de un microservicio no derriba los demás.</x:v>
      </x:c>
      <x:c r="H29" s="82" t="str">
        <x:v>Disponibilidad</x:v>
      </x:c>
      <x:c r="I29" s="82" t="str">
        <x:v>Medio</x:v>
      </x:c>
      <x:c r="J29" s="82" t="str">
        <x:v>Alto</x:v>
      </x:c>
      <x:c r="K29" s="82" t="str">
        <x:v>Alto</x:v>
      </x:c>
      <x:c r="L29" s="82" t="str">
        <x:v>Alto</x:v>
      </x:c>
      <x:c r="M29" s="82" t="str">
        <x:v>Medio</x:v>
      </x:c>
      <x:c r="N29" s="82" t="str">
        <x:v>Transversal</x:v>
      </x:c>
      <x:c r="O29" s="83" t="str">
        <x:v>ECS/Fargate; Circuit Breaker; Health Checks; CloudWatch</x:v>
      </x:c>
      <x:c r="P29" s="83" t="str">
        <x:v>RN-21</x:v>
      </x:c>
      <x:c r="Q29" s="82" t="str">
        <x:v>Aprobado</x:v>
      </x:c>
      <x:c r="R29" s="84" t="str">
        <x:v>0.3</x:v>
      </x:c>
    </x:row>
    <x:row r="30" ht="54" customHeight="1">
      <x:c r="A30" s="25" t="str">
        <x:v>RNF-07</x:v>
      </x:c>
      <x:c r="B30" s="23" t="str">
        <x:v>No funcional</x:v>
      </x:c>
      <x:c r="C30" s="23" t="str">
        <x:v>Diario y Citas</x:v>
      </x:c>
      <x:c r="D30" s="23" t="str">
        <x:v>Sistema</x:v>
      </x:c>
      <x:c r="E30" s="24" t="str">
        <x:v>Permitir escalar horizontalmente Diario Emocional y Solicitudes de Cita sin escalar obligatoriamente los demás servicios.</x:v>
      </x:c>
      <x:c r="F30" s="23" t="str">
        <x:v>Media</x:v>
      </x:c>
      <x:c r="G30" s="24" t="str">
        <x:v>Se aumenta el número de instancias o consumidores del servicio objetivo sin cambios de código ni despliegues en los otros servicios.</x:v>
      </x:c>
      <x:c r="H30" s="23" t="str">
        <x:v>Escalabilidad</x:v>
      </x:c>
      <x:c r="I30" s="23" t="str">
        <x:v>Bajo</x:v>
      </x:c>
      <x:c r="J30" s="23" t="str">
        <x:v>Alto</x:v>
      </x:c>
      <x:c r="K30" s="23" t="str">
        <x:v>Alto</x:v>
      </x:c>
      <x:c r="L30" s="23" t="str">
        <x:v>Alto</x:v>
      </x:c>
      <x:c r="M30" s="23" t="str">
        <x:v>Medio</x:v>
      </x:c>
      <x:c r="N30" s="23" t="str">
        <x:v>Transversal</x:v>
      </x:c>
      <x:c r="O30" s="24" t="str">
        <x:v>ECS/Fargate; Auto Scaling; SQS; Lambda</x:v>
      </x:c>
      <x:c r="P30" s="24" t="str">
        <x:v>RN-13</x:v>
      </x:c>
      <x:c r="Q30" s="23" t="str">
        <x:v>Aprobado</x:v>
      </x:c>
      <x:c r="R30" s="33" t="str">
        <x:v>0.3</x:v>
      </x:c>
    </x:row>
    <x:row r="31" ht="54" customHeight="1">
      <x:c r="A31" s="81" t="str">
        <x:v>RNF-08</x:v>
      </x:c>
      <x:c r="B31" s="82" t="str">
        <x:v>No funcional</x:v>
      </x:c>
      <x:c r="C31" s="82" t="str">
        <x:v>Solicitudes de Cita</x:v>
      </x:c>
      <x:c r="D31" s="82" t="str">
        <x:v>Sistema</x:v>
      </x:c>
      <x:c r="E31" s="83" t="str">
        <x:v>Implementar idempotencia, hasta tres reintentos, Circuit Breaker y Dead Letter Queue.</x:v>
      </x:c>
      <x:c r="F31" s="88" t="str">
        <x:v>Alta</x:v>
      </x:c>
      <x:c r="G31" s="83" t="str">
        <x:v>Un mensaje duplicado no duplica reservas; tras tres fallos el mensaje llega a DLQ y el Circuit Breaker protege la dependencia.</x:v>
      </x:c>
      <x:c r="H31" s="82" t="str">
        <x:v>Resiliencia</x:v>
      </x:c>
      <x:c r="I31" s="82" t="str">
        <x:v>Medio</x:v>
      </x:c>
      <x:c r="J31" s="82" t="str">
        <x:v>Alto</x:v>
      </x:c>
      <x:c r="K31" s="82" t="str">
        <x:v>Alto</x:v>
      </x:c>
      <x:c r="L31" s="82" t="str">
        <x:v>Alto</x:v>
      </x:c>
      <x:c r="M31" s="82" t="str">
        <x:v>Alto</x:v>
      </x:c>
      <x:c r="N31" s="82" t="str">
        <x:v>Asíncrona + REST interna</x:v>
      </x:c>
      <x:c r="O31" s="83" t="str">
        <x:v>SQS; Lambda; DLQ; Resilience4j; CloudWatch</x:v>
      </x:c>
      <x:c r="P31" s="83" t="str">
        <x:v>RN-12; RN-15; RN-16; RN-17</x:v>
      </x:c>
      <x:c r="Q31" s="82" t="str">
        <x:v>Aprobado</x:v>
      </x:c>
      <x:c r="R31" s="84" t="str">
        <x:v>0.3</x:v>
      </x:c>
    </x:row>
    <x:row r="32" ht="54" customHeight="1">
      <x:c r="A32" s="25" t="str">
        <x:v>RNF-09</x:v>
      </x:c>
      <x:c r="B32" s="23" t="str">
        <x:v>No funcional</x:v>
      </x:c>
      <x:c r="C32" s="23" t="str">
        <x:v>Transversal</x:v>
      </x:c>
      <x:c r="D32" s="23" t="str">
        <x:v>Equipo de desarrollo</x:v>
      </x:c>
      <x:c r="E32" s="24" t="str">
        <x:v>Construir, probar y desplegar cada microservicio independientemente, sin compartir tablas de base de datos.</x:v>
      </x:c>
      <x:c r="F32" s="23" t="str">
        <x:v>Media</x:v>
      </x:c>
      <x:c r="G32" s="24" t="str">
        <x:v>Cada servicio posee build y despliegue independiente y no consulta directamente tablas pertenecientes a otro servicio.</x:v>
      </x:c>
      <x:c r="H32" s="23" t="str">
        <x:v>Mantenibilidad</x:v>
      </x:c>
      <x:c r="I32" s="23" t="str">
        <x:v>Bajo</x:v>
      </x:c>
      <x:c r="J32" s="23" t="str">
        <x:v>Medio</x:v>
      </x:c>
      <x:c r="K32" s="23" t="str">
        <x:v>Medio</x:v>
      </x:c>
      <x:c r="L32" s="23" t="str">
        <x:v>Alto</x:v>
      </x:c>
      <x:c r="M32" s="23" t="str">
        <x:v>Alto</x:v>
      </x:c>
      <x:c r="N32" s="23" t="str">
        <x:v>Contratos independientes</x:v>
      </x:c>
      <x:c r="O32" s="24" t="str">
        <x:v>Maven; Docker; repositorio Git; BD por servicio</x:v>
      </x:c>
      <x:c r="P32" s="24" t="str">
        <x:v>RN-01; RN-12</x:v>
      </x:c>
      <x:c r="Q32" s="23" t="str">
        <x:v>Aprobado</x:v>
      </x:c>
      <x:c r="R32" s="33" t="str">
        <x:v>0.3</x:v>
      </x:c>
    </x:row>
    <x:row r="33" ht="54" customHeight="1">
      <x:c r="A33" s="89" t="str">
        <x:v>RNF-10</x:v>
      </x:c>
      <x:c r="B33" s="90" t="str">
        <x:v>No funcional</x:v>
      </x:c>
      <x:c r="C33" s="90" t="str">
        <x:v>Transversal</x:v>
      </x:c>
      <x:c r="D33" s="90" t="str">
        <x:v>Sistema</x:v>
      </x:c>
      <x:c r="E33" s="91" t="str">
        <x:v>Generar logs estructurados, identificadores de correlación, métricas y alertas mediante CloudWatch.</x:v>
      </x:c>
      <x:c r="F33" s="96" t="str">
        <x:v>Alta</x:v>
      </x:c>
      <x:c r="G33" s="91" t="str">
        <x:v>Cada solicitud puede rastrearse por correlationId y existen métricas y alertas para latencia, SQS, errores Lambda y DLQ.</x:v>
      </x:c>
      <x:c r="H33" s="90" t="str">
        <x:v>Observabilidad</x:v>
      </x:c>
      <x:c r="I33" s="90" t="str">
        <x:v>Medio</x:v>
      </x:c>
      <x:c r="J33" s="90" t="str">
        <x:v>Medio</x:v>
      </x:c>
      <x:c r="K33" s="90" t="str">
        <x:v>Alto</x:v>
      </x:c>
      <x:c r="L33" s="90" t="str">
        <x:v>Alto</x:v>
      </x:c>
      <x:c r="M33" s="90" t="str">
        <x:v>Bajo</x:v>
      </x:c>
      <x:c r="N33" s="90" t="str">
        <x:v>Transversal</x:v>
      </x:c>
      <x:c r="O33" s="91" t="str">
        <x:v>CloudWatch Logs; Metrics; Alarms; correlationId</x:v>
      </x:c>
      <x:c r="P33" s="91" t="str">
        <x:v>RN-15; RN-17; RN-21</x:v>
      </x:c>
      <x:c r="Q33" s="90" t="str">
        <x:v>Aprobado</x:v>
      </x:c>
      <x:c r="R33" s="92" t="str">
        <x:v>0.3</x:v>
      </x:c>
    </x:row>
  </x:sheetData>
  <x:mergeCells>
    <x:mergeCell ref="A1:R1"/>
    <x:mergeCell ref="A2:R2"/>
  </x:mergeCells>
  <x:conditionalFormatting sqref="F5:F33">
    <x:cfRule type="containsText" dxfId="0" priority="1" operator="containsText" text="Alta"/>
    <x:cfRule type="containsText" dxfId="1" priority="2" operator="containsText" text="Media"/>
    <x:cfRule type="containsText" dxfId="2" priority="3" operator="containsText" text="Baja"/>
    <x:cfRule type="containsText" dxfId="3" priority="4" operator="containsText" text="Alto"/>
    <x:cfRule type="containsText" dxfId="4" priority="5" operator="containsText" text="Medio"/>
    <x:cfRule type="containsText" dxfId="5" priority="6" operator="containsText" text="Bajo"/>
    <x:cfRule type="containsText" dxfId="15" priority="15" operator="containsText" text="Alta"/>
  </x:conditionalFormatting>
  <x:conditionalFormatting sqref="I5:M33">
    <x:cfRule type="containsText" dxfId="6" priority="7" operator="containsText" text="Alta"/>
    <x:cfRule type="containsText" dxfId="7" priority="8" operator="containsText" text="Media"/>
    <x:cfRule type="containsText" dxfId="8" priority="9" operator="containsText" text="Baja"/>
    <x:cfRule type="containsText" dxfId="9" priority="10" operator="containsText" text="Alto"/>
    <x:cfRule type="containsText" dxfId="10" priority="11" operator="containsText" text="Medio"/>
    <x:cfRule type="containsText" dxfId="11" priority="12" operator="containsText" text="Bajo"/>
  </x:conditionalFormatting>
  <x:conditionalFormatting sqref="Q5:Q33">
    <x:cfRule type="containsText" dxfId="12" priority="13" operator="containsText" text="Aprobado"/>
  </x:conditionalFormatting>
  <x:conditionalFormatting sqref="A5:R33">
    <x:cfRule type="expression" dxfId="14" priority="14">
      <x:formula>$F5="Alta"</x:formula>
    </x:cfRule>
  </x:conditionalFormatting>
  <x:dataValidations count="3">
    <x:dataValidation type="list" sqref="F5:F33">
      <x:formula1>"Alta,Media,Baja"</x:formula1>
    </x:dataValidation>
    <x:dataValidation type="list" sqref="I5:M33">
      <x:formula1>"Alto,Medio,Bajo,No aplica"</x:formula1>
    </x:dataValidation>
    <x:dataValidation type="list" sqref="Q5:Q33">
      <x:formula1>"Propuesto,Aprobado,Modificado,Retirado"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fbb63fcb7848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2" hidden="0" customWidth="1"/>
    <x:col min="3" max="3" width="30" hidden="0" customWidth="1"/>
    <x:col min="4" max="4" width="32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0" customHeight="1">
      <x:c r="A1" s="3" t="str">
        <x:v>Reglas de Negocio - MindSet</x:v>
      </x:c>
      <x:c r="B1" s="3" t="str">
        <x:v>Reglas de Negocio - MindSet</x:v>
      </x:c>
      <x:c r="C1" s="3" t="str">
        <x:v>Reglas de Negocio - MindSet</x:v>
      </x:c>
      <x:c r="D1" s="3" t="str">
        <x:v>Reglas de Negocio - MindSet</x:v>
      </x:c>
      <x:c r="E1" s="3" t="str">
        <x:v>Reglas de Negocio - MindSet</x:v>
      </x:c>
      <x:c r="F1" s="3" t="str">
        <x:v>Reglas de Negocio - MindSet</x:v>
      </x:c>
      <x:c r="G1" s="3" t="str">
        <x:v>Reglas de Negocio - MindSet</x:v>
      </x:c>
    </x:row>
    <x:row r="2" ht="28" customHeight="1">
      <x:c r="A2" s="7" t="str">
        <x:v>Condiciones y restricciones asociadas a los requisitos funcionales</x:v>
      </x:c>
      <x:c r="B2" s="7" t="str">
        <x:v>Condiciones y restricciones asociadas a los requisitos funcionales</x:v>
      </x:c>
      <x:c r="C2" s="7" t="str">
        <x:v>Condiciones y restricciones asociadas a los requisitos funcionales</x:v>
      </x:c>
      <x:c r="D2" s="7" t="str">
        <x:v>Condiciones y restricciones asociadas a los requisitos funcionales</x:v>
      </x:c>
      <x:c r="E2" s="7" t="str">
        <x:v>Condiciones y restricciones asociadas a los requisitos funcionales</x:v>
      </x:c>
      <x:c r="F2" s="7" t="str">
        <x:v>Condiciones y restricciones asociadas a los requisitos funcionales</x:v>
      </x:c>
      <x:c r="G2" s="7" t="str">
        <x:v>Condiciones y restricciones asociadas a los requisitos funcionales</x:v>
      </x:c>
    </x:row>
    <x:row r="4" ht="34" customHeight="1">
      <x:c r="A4" s="19" t="str">
        <x:v>ID</x:v>
      </x:c>
      <x:c r="B4" s="20" t="str">
        <x:v>Regla de negocio</x:v>
      </x:c>
      <x:c r="C4" s="20" t="str">
        <x:v>Requisitos relacionados</x:v>
      </x:c>
      <x:c r="D4" s="20" t="str">
        <x:v>Microservicio / Ámbito</x:v>
      </x:c>
      <x:c r="E4" s="20" t="str">
        <x:v>Validación o evidencia</x:v>
      </x:c>
      <x:c r="F4" s="20" t="str">
        <x:v>Estado</x:v>
      </x:c>
      <x:c r="G4" s="21" t="str">
        <x:v>Versión</x:v>
      </x:c>
    </x:row>
    <x:row r="5" ht="48" customHeight="1">
      <x:c r="A5" s="36" t="str">
        <x:v>RN-01</x:v>
      </x:c>
      <x:c r="B5" s="24" t="str">
        <x:v>Cada correo electrónico puede pertenecer a una sola cuenta.</x:v>
      </x:c>
      <x:c r="C5" s="24" t="str">
        <x:v>RF-01; RF-03</x:v>
      </x:c>
      <x:c r="D5" s="24" t="str">
        <x:v>Autenticación y Usuarios</x:v>
      </x:c>
      <x:c r="E5" s="24" t="str">
        <x:v>Restricción única sobre correo; duplicado rechazado.</x:v>
      </x:c>
      <x:c r="F5" s="24" t="str">
        <x:v>Aprobado</x:v>
      </x:c>
      <x:c r="G5" s="37" t="str">
        <x:v>0.3</x:v>
      </x:c>
    </x:row>
    <x:row r="6" ht="48" customHeight="1">
      <x:c r="A6" s="36" t="str">
        <x:v>RN-02</x:v>
      </x:c>
      <x:c r="B6" s="24" t="str">
        <x:v>El registro público siempre crea estudiantes; solo un administrador puede crear profesionales.</x:v>
      </x:c>
      <x:c r="C6" s="24" t="str">
        <x:v>RF-01; RF-03</x:v>
      </x:c>
      <x:c r="D6" s="24" t="str">
        <x:v>Autenticación y Usuarios</x:v>
      </x:c>
      <x:c r="E6" s="24" t="str">
        <x:v>Validación de rol y endpoint administrativo protegido.</x:v>
      </x:c>
      <x:c r="F6" s="24" t="str">
        <x:v>Aprobado</x:v>
      </x:c>
      <x:c r="G6" s="37" t="str">
        <x:v>0.3</x:v>
      </x:c>
    </x:row>
    <x:row r="7" ht="48" customHeight="1">
      <x:c r="A7" s="36" t="str">
        <x:v>RN-03</x:v>
      </x:c>
      <x:c r="B7" s="24" t="str">
        <x:v>Un profesional debe completar su perfil antes de publicar disponibilidad.</x:v>
      </x:c>
      <x:c r="C7" s="24" t="str">
        <x:v>RF-07; RF-11</x:v>
      </x:c>
      <x:c r="D7" s="24" t="str">
        <x:v>Profesionales y Disponibilidad</x:v>
      </x:c>
      <x:c r="E7" s="24" t="str">
        <x:v>Verificar perfil completo antes de crear horarios.</x:v>
      </x:c>
      <x:c r="F7" s="24" t="str">
        <x:v>Aprobado</x:v>
      </x:c>
      <x:c r="G7" s="37" t="str">
        <x:v>0.3</x:v>
      </x:c>
    </x:row>
    <x:row r="8" ht="48" customHeight="1">
      <x:c r="A8" s="36" t="str">
        <x:v>RN-04</x:v>
      </x:c>
      <x:c r="B8" s="24" t="str">
        <x:v>Solo se mostrarán públicamente profesionales con perfil completo y cuenta activa.</x:v>
      </x:c>
      <x:c r="C8" s="24" t="str">
        <x:v>RF-09</x:v>
      </x:c>
      <x:c r="D8" s="24" t="str">
        <x:v>Profesionales y Disponibilidad</x:v>
      </x:c>
      <x:c r="E8" s="24" t="str">
        <x:v>Filtrar perfiles por estado completo y activo.</x:v>
      </x:c>
      <x:c r="F8" s="24" t="str">
        <x:v>Aprobado</x:v>
      </x:c>
      <x:c r="G8" s="37" t="str">
        <x:v>0.3</x:v>
      </x:c>
    </x:row>
    <x:row r="9" ht="48" customHeight="1">
      <x:c r="A9" s="36" t="str">
        <x:v>RN-05</x:v>
      </x:c>
      <x:c r="B9" s="24" t="str">
        <x:v>Cada estudiante puede registrar como máximo un estado emocional por día.</x:v>
      </x:c>
      <x:c r="C9" s="24" t="str">
        <x:v>RF-04</x:v>
      </x:c>
      <x:c r="D9" s="24" t="str">
        <x:v>Diario Emocional</x:v>
      </x:c>
      <x:c r="E9" s="24" t="str">
        <x:v>Restricción única por estudiante y fecha.</x:v>
      </x:c>
      <x:c r="F9" s="24" t="str">
        <x:v>Aprobado</x:v>
      </x:c>
      <x:c r="G9" s="37" t="str">
        <x:v>0.3</x:v>
      </x:c>
    </x:row>
    <x:row r="10" ht="48" customHeight="1">
      <x:c r="A10" s="36" t="str">
        <x:v>RN-06</x:v>
      </x:c>
      <x:c r="B10" s="24" t="str">
        <x:v>El estado emocional debe seleccionarse entre cinco opciones con valores del 1 al 5.</x:v>
      </x:c>
      <x:c r="C10" s="24" t="str">
        <x:v>RF-04</x:v>
      </x:c>
      <x:c r="D10" s="24" t="str">
        <x:v>Diario Emocional</x:v>
      </x:c>
      <x:c r="E10" s="24" t="str">
        <x:v>Validar enumeración y rango permitido.</x:v>
      </x:c>
      <x:c r="F10" s="24" t="str">
        <x:v>Aprobado</x:v>
      </x:c>
      <x:c r="G10" s="37" t="str">
        <x:v>0.3</x:v>
      </x:c>
    </x:row>
    <x:row r="11" ht="48" customHeight="1">
      <x:c r="A11" s="36" t="str">
        <x:v>RN-07</x:v>
      </x:c>
      <x:c r="B11" s="24" t="str">
        <x:v>El comentario emocional es opcional y tendrá un máximo de 500 caracteres.</x:v>
      </x:c>
      <x:c r="C11" s="24" t="str">
        <x:v>RF-04; RF-05</x:v>
      </x:c>
      <x:c r="D11" s="24" t="str">
        <x:v>Diario Emocional</x:v>
      </x:c>
      <x:c r="E11" s="24" t="str">
        <x:v>Validar longitud antes de persistir.</x:v>
      </x:c>
      <x:c r="F11" s="24" t="str">
        <x:v>Aprobado</x:v>
      </x:c>
      <x:c r="G11" s="37" t="str">
        <x:v>0.3</x:v>
      </x:c>
    </x:row>
    <x:row r="12" ht="48" customHeight="1">
      <x:c r="A12" s="36" t="str">
        <x:v>RN-08</x:v>
      </x:c>
      <x:c r="B12" s="24" t="str">
        <x:v>El resumen semanal considera los registros existentes en los últimos siete días e indica cuántos se utilizaron.</x:v>
      </x:c>
      <x:c r="C12" s="24" t="str">
        <x:v>RF-06</x:v>
      </x:c>
      <x:c r="D12" s="24" t="str">
        <x:v>Diario Emocional</x:v>
      </x:c>
      <x:c r="E12" s="24" t="str">
        <x:v>Consulta por rango de fechas, promedio y conteo.</x:v>
      </x:c>
      <x:c r="F12" s="24" t="str">
        <x:v>Aprobado</x:v>
      </x:c>
      <x:c r="G12" s="37" t="str">
        <x:v>0.3</x:v>
      </x:c>
    </x:row>
    <x:row r="13" ht="48" customHeight="1">
      <x:c r="A13" s="36" t="str">
        <x:v>RN-09</x:v>
      </x:c>
      <x:c r="B13" s="24" t="str">
        <x:v>El resumen emocional es informativo y no constituye un diagnóstico clínico.</x:v>
      </x:c>
      <x:c r="C13" s="24" t="str">
        <x:v>RF-06</x:v>
      </x:c>
      <x:c r="D13" s="24" t="str">
        <x:v>Diario Emocional</x:v>
      </x:c>
      <x:c r="E13" s="24" t="str">
        <x:v>Mostrar aviso no clínico junto al resultado.</x:v>
      </x:c>
      <x:c r="F13" s="24" t="str">
        <x:v>Aprobado</x:v>
      </x:c>
      <x:c r="G13" s="37" t="str">
        <x:v>0.3</x:v>
      </x:c>
    </x:row>
    <x:row r="14" ht="48" customHeight="1">
      <x:c r="A14" s="36" t="str">
        <x:v>RN-10</x:v>
      </x:c>
      <x:c r="B14" s="24" t="str">
        <x:v>Un profesional solo puede administrar sus horarios y estos deben corresponder a fechas futuras.</x:v>
      </x:c>
      <x:c r="C14" s="24" t="str">
        <x:v>RF-10; RF-11; RF-12; RF-13</x:v>
      </x:c>
      <x:c r="D14" s="24" t="str">
        <x:v>Profesionales y Disponibilidad</x:v>
      </x:c>
      <x:c r="E14" s="24" t="str">
        <x:v>Comparar propietario del JWT y fecha del horario.</x:v>
      </x:c>
      <x:c r="F14" s="24" t="str">
        <x:v>Aprobado</x:v>
      </x:c>
      <x:c r="G14" s="37" t="str">
        <x:v>0.3</x:v>
      </x:c>
    </x:row>
    <x:row r="15" ht="48" customHeight="1">
      <x:c r="A15" s="36" t="str">
        <x:v>RN-11</x:v>
      </x:c>
      <x:c r="B15" s="24" t="str">
        <x:v>Los horarios de un mismo profesional no pueden superponerse.</x:v>
      </x:c>
      <x:c r="C15" s="24" t="str">
        <x:v>RF-11; RF-12</x:v>
      </x:c>
      <x:c r="D15" s="24" t="str">
        <x:v>Profesionales y Disponibilidad</x:v>
      </x:c>
      <x:c r="E15" s="24" t="str">
        <x:v>Buscar intersección antes de crear o modificar.</x:v>
      </x:c>
      <x:c r="F15" s="24" t="str">
        <x:v>Aprobado</x:v>
      </x:c>
      <x:c r="G15" s="37" t="str">
        <x:v>0.3</x:v>
      </x:c>
    </x:row>
    <x:row r="16" ht="48" customHeight="1">
      <x:c r="A16" s="36" t="str">
        <x:v>RN-12</x:v>
      </x:c>
      <x:c r="B16" s="24" t="str">
        <x:v>Un horario reservado no puede modificarse, eliminarse ni asignarse nuevamente.</x:v>
      </x:c>
      <x:c r="C16" s="24" t="str">
        <x:v>RF-12; RF-13; RF-15</x:v>
      </x:c>
      <x:c r="D16" s="24" t="str">
        <x:v>Profesionales y Disponibilidad</x:v>
      </x:c>
      <x:c r="E16" s="24" t="str">
        <x:v>Bloqueo transaccional y validación de estado.</x:v>
      </x:c>
      <x:c r="F16" s="24" t="str">
        <x:v>Aprobado</x:v>
      </x:c>
      <x:c r="G16" s="37" t="str">
        <x:v>0.3</x:v>
      </x:c>
    </x:row>
    <x:row r="17" ht="48" customHeight="1">
      <x:c r="A17" s="36" t="str">
        <x:v>RN-13</x:v>
      </x:c>
      <x:c r="B17" s="24" t="str">
        <x:v>Un estudiante puede tener solamente una cita activa: PENDIENTE o CONFIRMADA.</x:v>
      </x:c>
      <x:c r="C17" s="24" t="str">
        <x:v>RF-14</x:v>
      </x:c>
      <x:c r="D17" s="24" t="str">
        <x:v>Solicitudes de Cita</x:v>
      </x:c>
      <x:c r="E17" s="24" t="str">
        <x:v>Consulta transaccional previa; conflicto responde 409.</x:v>
      </x:c>
      <x:c r="F17" s="24" t="str">
        <x:v>Aprobado</x:v>
      </x:c>
      <x:c r="G17" s="37" t="str">
        <x:v>0.3</x:v>
      </x:c>
    </x:row>
    <x:row r="18" ht="48" customHeight="1">
      <x:c r="A18" s="36" t="str">
        <x:v>RN-14</x:v>
      </x:c>
      <x:c r="B18" s="24" t="str">
        <x:v>Toda solicitud nueva comienza en estado PENDIENTE.</x:v>
      </x:c>
      <x:c r="C18" s="24" t="str">
        <x:v>RF-14</x:v>
      </x:c>
      <x:c r="D18" s="24" t="str">
        <x:v>Solicitudes de Cita</x:v>
      </x:c>
      <x:c r="E18" s="24" t="str">
        <x:v>Estado inicial asignado por el servicio.</x:v>
      </x:c>
      <x:c r="F18" s="24" t="str">
        <x:v>Aprobado</x:v>
      </x:c>
      <x:c r="G18" s="37" t="str">
        <x:v>0.3</x:v>
      </x:c>
    </x:row>
    <x:row r="19" ht="48" customHeight="1">
      <x:c r="A19" s="36" t="str">
        <x:v>RN-15</x:v>
      </x:c>
      <x:c r="B19" s="24" t="str">
        <x:v>Una solicitud pendiente puede finalizar como CONFIRMADA o RECHAZADA.</x:v>
      </x:c>
      <x:c r="C19" s="24" t="str">
        <x:v>RF-15</x:v>
      </x:c>
      <x:c r="D19" s="24" t="str">
        <x:v>Solicitudes de Cita</x:v>
      </x:c>
      <x:c r="E19" s="24" t="str">
        <x:v>Máquina de estados restringida.</x:v>
      </x:c>
      <x:c r="F19" s="24" t="str">
        <x:v>Aprobado</x:v>
      </x:c>
      <x:c r="G19" s="37" t="str">
        <x:v>0.3</x:v>
      </x:c>
    </x:row>
    <x:row r="20" ht="48" customHeight="1">
      <x:c r="A20" s="36" t="str">
        <x:v>RN-16</x:v>
      </x:c>
      <x:c r="B20" s="24" t="str">
        <x:v>Si no existe disponibilidad compatible, la solicitud queda RECHAZADA.</x:v>
      </x:c>
      <x:c r="C20" s="24" t="str">
        <x:v>RF-15</x:v>
      </x:c>
      <x:c r="D20" s="24" t="str">
        <x:v>Solicitudes de Cita</x:v>
      </x:c>
      <x:c r="E20" s="24" t="str">
        <x:v>Resultado de búsqueda vacío actualiza estado.</x:v>
      </x:c>
      <x:c r="F20" s="24" t="str">
        <x:v>Aprobado</x:v>
      </x:c>
      <x:c r="G20" s="37" t="str">
        <x:v>0.3</x:v>
      </x:c>
    </x:row>
    <x:row r="21" ht="48" customHeight="1">
      <x:c r="A21" s="36" t="str">
        <x:v>RN-17</x:v>
      </x:c>
      <x:c r="B21" s="24" t="str">
        <x:v>La reserva debe ser atómica e idempotente para evitar asignaciones duplicadas.</x:v>
      </x:c>
      <x:c r="C21" s="24" t="str">
        <x:v>RF-15</x:v>
      </x:c>
      <x:c r="D21" s="24" t="str">
        <x:v>Citas y Disponibilidad</x:v>
      </x:c>
      <x:c r="E21" s="24" t="str">
        <x:v>Clave de idempotencia y transacción de reserva.</x:v>
      </x:c>
      <x:c r="F21" s="24" t="str">
        <x:v>Aprobado</x:v>
      </x:c>
      <x:c r="G21" s="37" t="str">
        <x:v>0.3</x:v>
      </x:c>
    </x:row>
    <x:row r="22" ht="48" customHeight="1">
      <x:c r="A22" s="36" t="str">
        <x:v>RN-18</x:v>
      </x:c>
      <x:c r="B22" s="24" t="str">
        <x:v>Un estudiante solo puede consultar sus propias solicitudes.</x:v>
      </x:c>
      <x:c r="C22" s="24" t="str">
        <x:v>RF-16</x:v>
      </x:c>
      <x:c r="D22" s="24" t="str">
        <x:v>Solicitudes de Cita</x:v>
      </x:c>
      <x:c r="E22" s="24" t="str">
        <x:v>Comparar estudiante del JWT con propietario.</x:v>
      </x:c>
      <x:c r="F22" s="24" t="str">
        <x:v>Aprobado</x:v>
      </x:c>
      <x:c r="G22" s="37" t="str">
        <x:v>0.3</x:v>
      </x:c>
    </x:row>
    <x:row r="23" ht="48" customHeight="1">
      <x:c r="A23" s="36" t="str">
        <x:v>RN-19</x:v>
      </x:c>
      <x:c r="B23" s="24" t="str">
        <x:v>Un profesional solo puede consultar y completar citas asignadas a su identificador.</x:v>
      </x:c>
      <x:c r="C23" s="24" t="str">
        <x:v>RF-17; RF-18</x:v>
      </x:c>
      <x:c r="D23" s="24" t="str">
        <x:v>Solicitudes de Cita</x:v>
      </x:c>
      <x:c r="E23" s="24" t="str">
        <x:v>Comparar profesional del JWT con asignación.</x:v>
      </x:c>
      <x:c r="F23" s="24" t="str">
        <x:v>Aprobado</x:v>
      </x:c>
      <x:c r="G23" s="37" t="str">
        <x:v>0.3</x:v>
      </x:c>
    </x:row>
    <x:row r="24" ht="48" customHeight="1">
      <x:c r="A24" s="36" t="str">
        <x:v>RN-20</x:v>
      </x:c>
      <x:c r="B24" s="24" t="str">
        <x:v>Solo una cita confirmada puede pasar a COMPLETADA.</x:v>
      </x:c>
      <x:c r="C24" s="24" t="str">
        <x:v>RF-18</x:v>
      </x:c>
      <x:c r="D24" s="24" t="str">
        <x:v>Solicitudes de Cita</x:v>
      </x:c>
      <x:c r="E24" s="24" t="str">
        <x:v>Validar transición de estado.</x:v>
      </x:c>
      <x:c r="F24" s="24" t="str">
        <x:v>Aprobado</x:v>
      </x:c>
      <x:c r="G24" s="37" t="str">
        <x:v>0.3</x:v>
      </x:c>
    </x:row>
    <x:row r="25" ht="48" customHeight="1">
      <x:c r="A25" s="36" t="str">
        <x:v>RN-21</x:v>
      </x:c>
      <x:c r="B25" s="24" t="str">
        <x:v>Un fallo al enviar la notificación no modifica el resultado de la cita.</x:v>
      </x:c>
      <x:c r="C25" s="24" t="str">
        <x:v>RF-19</x:v>
      </x:c>
      <x:c r="D25" s="24" t="str">
        <x:v>Solicitudes de Cita</x:v>
      </x:c>
      <x:c r="E25" s="24" t="str">
        <x:v>Registrar error y conservar estado confirmado o rechazado.</x:v>
      </x:c>
      <x:c r="F25" s="24" t="str">
        <x:v>Aprobado</x:v>
      </x:c>
      <x:c r="G25" s="37" t="str">
        <x:v>0.3</x:v>
      </x:c>
    </x:row>
    <x:row r="26" ht="48" customHeight="1">
      <x:c r="A26" s="38" t="str">
        <x:v>RN-22</x:v>
      </x:c>
      <x:c r="B26" s="29" t="str">
        <x:v>Las cancelaciones quedan fuera del alcance de la primera versión.</x:v>
      </x:c>
      <x:c r="C26" s="29" t="str">
        <x:v>RF-14; RF-15; RF-16; RF-17; RF-18</x:v>
      </x:c>
      <x:c r="D26" s="29" t="str">
        <x:v>Solicitudes de Cita</x:v>
      </x:c>
      <x:c r="E26" s="29" t="str">
        <x:v>No exponer operación ni transición CANCELADA.</x:v>
      </x:c>
      <x:c r="F26" s="29" t="str">
        <x:v>Aprobado</x:v>
      </x:c>
      <x:c r="G26" s="39" t="str">
        <x:v>0.3</x:v>
      </x:c>
    </x:row>
  </x:sheetData>
  <x:mergeCells>
    <x:mergeCell ref="A1:G1"/>
    <x:mergeCell ref="A2:G2"/>
  </x:mergeCells>
  <x:conditionalFormatting sqref="F5:F26">
    <x:cfRule type="containsText" dxfId="13" priority="1" operator="containsText" text="Aprobado"/>
  </x:conditionalFormatting>
  <x:dataValidations count="1">
    <x:dataValidation type="list" sqref="F5:F26">
      <x:formula1>"Propuesto,Aprobado,Modificado,Retirado"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0a9d10cb154e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20" hidden="0" customWidth="1"/>
    <x:col min="6" max="6" width="46" hidden="0" customWidth="1"/>
  </x:cols>
  <x:sheetData>
    <x:row r="1" ht="30" customHeight="1">
      <x:c r="A1" s="3" t="str">
        <x:v>Catálogos y convenciones</x:v>
      </x:c>
      <x:c r="B1" s="3" t="str">
        <x:v>Catálogos y convenciones</x:v>
      </x:c>
      <x:c r="C1" s="3" t="str">
        <x:v>Catálogos y convenciones</x:v>
      </x:c>
      <x:c r="D1" s="3" t="str">
        <x:v>Catálogos y convenciones</x:v>
      </x:c>
      <x:c r="E1" s="3" t="str">
        <x:v>Catálogos y convenciones</x:v>
      </x:c>
      <x:c r="F1" s="3" t="str">
        <x:v>Catálogos y convenciones</x:v>
      </x:c>
    </x:row>
    <x:row r="2" ht="28" customHeight="1">
      <x:c r="A2" s="7" t="str">
        <x:v>Valores utilizados en la matriz</x:v>
      </x:c>
      <x:c r="B2" s="7"/>
      <x:c r="C2" s="7"/>
      <x:c r="D2" s="7"/>
      <x:c r="E2" s="7"/>
      <x:c r="F2" s="7"/>
    </x:row>
    <x:row r="4" ht="34" customHeight="1">
      <x:c r="A4" s="19" t="str">
        <x:v>Prioridad</x:v>
      </x:c>
      <x:c r="B4" s="20" t="str">
        <x:v>Estado</x:v>
      </x:c>
      <x:c r="C4" s="20" t="str">
        <x:v>Impacto</x:v>
      </x:c>
      <x:c r="D4" s="20" t="str">
        <x:v>Tipo</x:v>
      </x:c>
      <x:c r="E4" s="20" t="str">
        <x:v>Comunicación</x:v>
      </x:c>
      <x:c r="F4" s="21" t="str">
        <x:v>Convención</x:v>
      </x:c>
    </x:row>
    <x:row r="5">
      <x:c r="A5" s="52" t="str">
        <x:v>Alta</x:v>
      </x:c>
      <x:c r="B5" s="53" t="str">
        <x:v>Propuesto</x:v>
      </x:c>
      <x:c r="C5" s="53" t="str">
        <x:v>Alto</x:v>
      </x:c>
      <x:c r="D5" s="53" t="str">
        <x:v>Funcional</x:v>
      </x:c>
      <x:c r="E5" s="53" t="str">
        <x:v>REST síncrona</x:v>
      </x:c>
      <x:c r="F5" s="54" t="str">
        <x:v>RF = requisito funcional</x:v>
      </x:c>
    </x:row>
    <x:row r="6">
      <x:c r="A6" s="52" t="str">
        <x:v>Media</x:v>
      </x:c>
      <x:c r="B6" s="53" t="str">
        <x:v>Aprobado</x:v>
      </x:c>
      <x:c r="C6" s="53" t="str">
        <x:v>Medio</x:v>
      </x:c>
      <x:c r="D6" s="53" t="str">
        <x:v>No funcional</x:v>
      </x:c>
      <x:c r="E6" s="53" t="str">
        <x:v>Asíncrona SQS</x:v>
      </x:c>
      <x:c r="F6" s="54" t="str">
        <x:v>RNF = requisito no funcional</x:v>
      </x:c>
    </x:row>
    <x:row r="7">
      <x:c r="A7" s="52" t="str">
        <x:v>Baja</x:v>
      </x:c>
      <x:c r="B7" s="53" t="str">
        <x:v>Modificado</x:v>
      </x:c>
      <x:c r="C7" s="53" t="str">
        <x:v>Bajo</x:v>
      </x:c>
      <x:c r="D7" s="53" t="str"/>
      <x:c r="E7" s="53" t="str">
        <x:v>REST interna</x:v>
      </x:c>
      <x:c r="F7" s="54" t="str">
        <x:v>RN = regla de negocio</x:v>
      </x:c>
    </x:row>
    <x:row r="8">
      <x:c r="A8" s="55" t="str"/>
      <x:c r="B8" s="56" t="str">
        <x:v>Retirado</x:v>
      </x:c>
      <x:c r="C8" s="56" t="str">
        <x:v>No aplica</x:v>
      </x:c>
      <x:c r="D8" s="56" t="str"/>
      <x:c r="E8" s="56" t="str">
        <x:v>Transversal</x:v>
      </x:c>
      <x:c r="F8" s="57" t="str">
        <x:v>Versión 0.3 = versión actual de la matriz</x:v>
      </x:c>
    </x:row>
    <x:row r="10" ht="42" customHeight="1">
      <x:c r="A10" s="60" t="str">
        <x:v>Nota: las opciones, selecciones y botones de una pantalla se documentarán en casos de uso y criterios de aceptación; no constituyen automáticamente requisitos separados.</x:v>
      </x:c>
      <x:c r="B10" s="60" t="str">
        <x:v>Nota: las opciones, selecciones y botones de una pantalla se documentarán en casos de uso y criterios de aceptación; no constituyen automáticamente requisitos separados.</x:v>
      </x:c>
      <x:c r="C10" s="60" t="str">
        <x:v>Nota: las opciones, selecciones y botones de una pantalla se documentarán en casos de uso y criterios de aceptación; no constituyen automáticamente requisitos separados.</x:v>
      </x:c>
      <x:c r="D10" s="60" t="str">
        <x:v>Nota: las opciones, selecciones y botones de una pantalla se documentarán en casos de uso y criterios de aceptación; no constituyen automáticamente requisitos separados.</x:v>
      </x:c>
      <x:c r="E10" s="60" t="str">
        <x:v>Nota: las opciones, selecciones y botones de una pantalla se documentarán en casos de uso y criterios de aceptación; no constituyen automáticamente requisitos separados.</x:v>
      </x:c>
      <x:c r="F10" s="60" t="str">
        <x:v>Nota: las opciones, selecciones y botones de una pantalla se documentarán en casos de uso y criterios de aceptación; no constituyen automáticamente requisitos separados.</x:v>
      </x:c>
    </x:row>
  </x:sheetData>
  <x:mergeCells>
    <x:mergeCell ref="A1:F1"/>
    <x:mergeCell ref="A10:F10"/>
    <x:mergeCell ref="A2:F2"/>
  </x:mergeCells>
  <x:pageMargins left="0.7" right="0.7" top="0.75" bottom="0.75" header="0.3" footer="0.3"/>
</x:worksheet>
</file>